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0.xml" ContentType="application/vnd.openxmlformats-officedocument.drawingml.chart+xml"/>
  <Override PartName="/xl/drawings/drawing9.xml" ContentType="application/vnd.openxmlformats-officedocument.drawingml.chartshapes+xml"/>
  <Override PartName="/xl/charts/chart21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ancisco Esteban\Documents\CONTROL_QUALITY\60_PPM'S_CERTIFICACION\Docs\"/>
    </mc:Choice>
  </mc:AlternateContent>
  <xr:revisionPtr revIDLastSave="0" documentId="13_ncr:1_{CF404851-4F11-4A1F-B879-78D53E452647}" xr6:coauthVersionLast="47" xr6:coauthVersionMax="47" xr10:uidLastSave="{00000000-0000-0000-0000-000000000000}"/>
  <bookViews>
    <workbookView xWindow="-28920" yWindow="-120" windowWidth="29040" windowHeight="15840" activeTab="1" xr2:uid="{00000000-000D-0000-FFFF-FFFF00000000}"/>
  </bookViews>
  <sheets>
    <sheet name="PPMS" sheetId="1" r:id="rId1"/>
    <sheet name="Graficas" sheetId="7" r:id="rId2"/>
    <sheet name="GRAF_MENSUAL" sheetId="3" r:id="rId3"/>
    <sheet name="Defectos" sheetId="2" r:id="rId4"/>
    <sheet name="PPMSQC" sheetId="4" r:id="rId5"/>
    <sheet name="INSP-DEF" sheetId="5" r:id="rId6"/>
    <sheet name="PPMSQC GRAF" sheetId="10" r:id="rId7"/>
  </sheets>
  <calcPr calcId="191029"/>
  <pivotCaches>
    <pivotCache cacheId="0" r:id="rId8"/>
    <pivotCache cacheId="1" r:id="rId9"/>
    <pivotCache cacheId="2" r:id="rId10"/>
    <pivotCache cacheId="3" r:id="rId11"/>
    <pivotCache cacheId="26" r:id="rId12"/>
    <pivotCache cacheId="29" r:id="rId13"/>
    <pivotCache cacheId="3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4" l="1"/>
  <c r="M4" i="1"/>
  <c r="H5" i="3"/>
  <c r="H4" i="3"/>
  <c r="M35" i="1" l="1"/>
  <c r="D35" i="1"/>
  <c r="L35" i="1"/>
  <c r="K16" i="1"/>
  <c r="L16" i="1" s="1"/>
  <c r="K10" i="1"/>
  <c r="K11" i="1"/>
  <c r="K12" i="1"/>
  <c r="K13" i="1"/>
  <c r="K14" i="1"/>
  <c r="L14" i="1" s="1"/>
  <c r="K15" i="1"/>
  <c r="K9" i="1"/>
  <c r="L9" i="1" s="1"/>
  <c r="K8" i="1"/>
  <c r="L8" i="1"/>
  <c r="L10" i="1"/>
  <c r="L11" i="1"/>
  <c r="L12" i="1"/>
  <c r="L13" i="1"/>
  <c r="L15" i="1"/>
  <c r="L17" i="1"/>
  <c r="L18" i="1"/>
  <c r="J9" i="1"/>
  <c r="J16" i="1"/>
  <c r="J15" i="1"/>
  <c r="J14" i="1"/>
  <c r="J12" i="1"/>
  <c r="J11" i="1"/>
  <c r="J13" i="1"/>
  <c r="J10" i="1"/>
  <c r="J8" i="1"/>
  <c r="L5" i="1"/>
  <c r="L6" i="1"/>
  <c r="L7" i="1"/>
  <c r="M8" i="1"/>
  <c r="L4" i="1"/>
  <c r="H4" i="1"/>
  <c r="J20" i="1"/>
  <c r="J4" i="1"/>
  <c r="K4" i="1"/>
  <c r="H5" i="1"/>
  <c r="D4" i="1"/>
  <c r="R101" i="4"/>
  <c r="M101" i="4"/>
  <c r="O101" i="4"/>
  <c r="W4" i="5" l="1"/>
  <c r="W6" i="5"/>
  <c r="T101" i="4" l="1"/>
  <c r="S101" i="4"/>
  <c r="T102" i="4" s="1"/>
  <c r="N101" i="4"/>
  <c r="O102" i="4" s="1"/>
  <c r="D101" i="4"/>
  <c r="C101" i="4"/>
  <c r="W16" i="4"/>
  <c r="V16" i="4"/>
  <c r="U16" i="4"/>
  <c r="W15" i="4"/>
  <c r="V15" i="4"/>
  <c r="U15" i="4"/>
  <c r="W14" i="4"/>
  <c r="V14" i="4"/>
  <c r="U14" i="4"/>
  <c r="W13" i="4"/>
  <c r="V13" i="4"/>
  <c r="U13" i="4"/>
  <c r="W12" i="4"/>
  <c r="V12" i="4"/>
  <c r="U12" i="4"/>
  <c r="W11" i="4"/>
  <c r="V11" i="4"/>
  <c r="U11" i="4"/>
  <c r="W9" i="4"/>
  <c r="V9" i="4"/>
  <c r="U9" i="4"/>
  <c r="W8" i="4"/>
  <c r="V8" i="4"/>
  <c r="U8" i="4"/>
  <c r="W7" i="4"/>
  <c r="V7" i="4"/>
  <c r="U7" i="4"/>
  <c r="W6" i="4"/>
  <c r="V6" i="4"/>
  <c r="U6" i="4"/>
  <c r="W5" i="4"/>
  <c r="V5" i="4"/>
  <c r="U5" i="4"/>
  <c r="W4" i="4"/>
  <c r="V4" i="4"/>
  <c r="U4" i="4"/>
  <c r="D15" i="3" l="1"/>
  <c r="H15" i="3" s="1"/>
  <c r="D14" i="3"/>
  <c r="H14" i="3" s="1"/>
  <c r="D13" i="3"/>
  <c r="H13" i="3" s="1"/>
  <c r="D12" i="3"/>
  <c r="H12" i="3" s="1"/>
  <c r="D11" i="3"/>
  <c r="H11" i="3" s="1"/>
  <c r="D10" i="3"/>
  <c r="H10" i="3" s="1"/>
  <c r="D9" i="3"/>
  <c r="H9" i="3" s="1"/>
  <c r="D8" i="3"/>
  <c r="H8" i="3" s="1"/>
  <c r="D7" i="3"/>
  <c r="H7" i="3" s="1"/>
  <c r="D6" i="3"/>
  <c r="H6" i="3" s="1"/>
  <c r="D5" i="3"/>
  <c r="D4" i="3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L33" i="1" s="1"/>
  <c r="M33" i="1" s="1"/>
  <c r="H34" i="1"/>
  <c r="D5" i="1"/>
  <c r="D6" i="1"/>
  <c r="M6" i="1" s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29" i="1" s="1"/>
  <c r="M29" i="1" s="1"/>
  <c r="D30" i="1"/>
  <c r="D31" i="1"/>
  <c r="D32" i="1"/>
  <c r="D33" i="1"/>
  <c r="D34" i="1"/>
  <c r="B72" i="2"/>
  <c r="E39" i="2"/>
  <c r="V38" i="1"/>
  <c r="W37" i="1"/>
  <c r="W36" i="1"/>
  <c r="W35" i="1"/>
  <c r="Q35" i="1"/>
  <c r="P35" i="1"/>
  <c r="G35" i="1"/>
  <c r="F35" i="1"/>
  <c r="C35" i="1"/>
  <c r="B35" i="1"/>
  <c r="W34" i="1"/>
  <c r="R34" i="1"/>
  <c r="K34" i="1"/>
  <c r="J34" i="1"/>
  <c r="W33" i="1"/>
  <c r="R33" i="1"/>
  <c r="K33" i="1"/>
  <c r="J33" i="1"/>
  <c r="W32" i="1"/>
  <c r="R32" i="1"/>
  <c r="K32" i="1"/>
  <c r="J32" i="1"/>
  <c r="W31" i="1"/>
  <c r="R31" i="1"/>
  <c r="K31" i="1"/>
  <c r="J31" i="1"/>
  <c r="W30" i="1"/>
  <c r="R30" i="1"/>
  <c r="K30" i="1"/>
  <c r="J30" i="1"/>
  <c r="W29" i="1"/>
  <c r="R29" i="1"/>
  <c r="K29" i="1"/>
  <c r="J29" i="1"/>
  <c r="W28" i="1"/>
  <c r="R28" i="1"/>
  <c r="K28" i="1"/>
  <c r="J28" i="1"/>
  <c r="W27" i="1"/>
  <c r="R27" i="1"/>
  <c r="K27" i="1"/>
  <c r="J27" i="1"/>
  <c r="W26" i="1"/>
  <c r="R26" i="1"/>
  <c r="K26" i="1"/>
  <c r="J26" i="1"/>
  <c r="W25" i="1"/>
  <c r="R25" i="1"/>
  <c r="K25" i="1"/>
  <c r="J25" i="1"/>
  <c r="W24" i="1"/>
  <c r="R24" i="1"/>
  <c r="K24" i="1"/>
  <c r="J24" i="1"/>
  <c r="AA23" i="1"/>
  <c r="Z23" i="1"/>
  <c r="W23" i="1"/>
  <c r="R23" i="1"/>
  <c r="K23" i="1"/>
  <c r="J23" i="1"/>
  <c r="AB22" i="1"/>
  <c r="W22" i="1"/>
  <c r="R22" i="1"/>
  <c r="K22" i="1"/>
  <c r="J22" i="1"/>
  <c r="AB21" i="1"/>
  <c r="W21" i="1"/>
  <c r="R21" i="1"/>
  <c r="K21" i="1"/>
  <c r="J21" i="1"/>
  <c r="AB20" i="1"/>
  <c r="W20" i="1"/>
  <c r="R20" i="1"/>
  <c r="K20" i="1"/>
  <c r="AB19" i="1"/>
  <c r="W19" i="1"/>
  <c r="R19" i="1"/>
  <c r="K19" i="1"/>
  <c r="J19" i="1"/>
  <c r="AB18" i="1"/>
  <c r="W18" i="1"/>
  <c r="R18" i="1"/>
  <c r="K18" i="1"/>
  <c r="J18" i="1"/>
  <c r="AB17" i="1"/>
  <c r="W17" i="1"/>
  <c r="R17" i="1"/>
  <c r="K17" i="1"/>
  <c r="J17" i="1"/>
  <c r="AB16" i="1"/>
  <c r="W16" i="1"/>
  <c r="R16" i="1"/>
  <c r="AB15" i="1"/>
  <c r="W15" i="1"/>
  <c r="R15" i="1"/>
  <c r="AB14" i="1"/>
  <c r="W14" i="1"/>
  <c r="R14" i="1"/>
  <c r="AB13" i="1"/>
  <c r="W13" i="1"/>
  <c r="R13" i="1"/>
  <c r="AB12" i="1"/>
  <c r="W12" i="1"/>
  <c r="R12" i="1"/>
  <c r="AB11" i="1"/>
  <c r="W11" i="1"/>
  <c r="R11" i="1"/>
  <c r="AB10" i="1"/>
  <c r="W10" i="1"/>
  <c r="R10" i="1"/>
  <c r="AB9" i="1"/>
  <c r="W9" i="1"/>
  <c r="R9" i="1"/>
  <c r="AB8" i="1"/>
  <c r="W8" i="1"/>
  <c r="R8" i="1"/>
  <c r="AB7" i="1"/>
  <c r="W7" i="1"/>
  <c r="R7" i="1"/>
  <c r="K7" i="1"/>
  <c r="J7" i="1"/>
  <c r="AB6" i="1"/>
  <c r="W6" i="1"/>
  <c r="R6" i="1"/>
  <c r="K6" i="1"/>
  <c r="J6" i="1"/>
  <c r="K5" i="1"/>
  <c r="J5" i="1"/>
  <c r="M5" i="1"/>
  <c r="M17" i="1" l="1"/>
  <c r="L34" i="1"/>
  <c r="M34" i="1" s="1"/>
  <c r="H35" i="1"/>
  <c r="M10" i="1"/>
  <c r="K35" i="1"/>
  <c r="AB23" i="1"/>
  <c r="K149" i="7" s="1"/>
  <c r="J35" i="1"/>
  <c r="L27" i="1"/>
  <c r="M27" i="1" s="1"/>
  <c r="W38" i="1"/>
  <c r="Q146" i="7" s="1"/>
  <c r="R35" i="1"/>
  <c r="K146" i="7" s="1"/>
  <c r="L28" i="1"/>
  <c r="M28" i="1" s="1"/>
  <c r="L24" i="1"/>
  <c r="M24" i="1" s="1"/>
  <c r="L20" i="1"/>
  <c r="M20" i="1" s="1"/>
  <c r="M16" i="1"/>
  <c r="M12" i="1"/>
  <c r="M13" i="1"/>
  <c r="L21" i="1"/>
  <c r="M21" i="1" s="1"/>
  <c r="M14" i="1"/>
  <c r="M18" i="1"/>
  <c r="L22" i="1"/>
  <c r="M22" i="1" s="1"/>
  <c r="L25" i="1"/>
  <c r="M25" i="1" s="1"/>
  <c r="L26" i="1"/>
  <c r="M26" i="1" s="1"/>
  <c r="L30" i="1"/>
  <c r="M30" i="1" s="1"/>
  <c r="L31" i="1"/>
  <c r="M31" i="1" s="1"/>
  <c r="L32" i="1"/>
  <c r="M32" i="1" s="1"/>
  <c r="M11" i="1"/>
  <c r="M15" i="1"/>
  <c r="L19" i="1"/>
  <c r="M19" i="1" s="1"/>
  <c r="L23" i="1"/>
  <c r="M23" i="1" s="1"/>
  <c r="M9" i="1"/>
  <c r="M7" i="1"/>
  <c r="Q149" i="7" l="1"/>
</calcChain>
</file>

<file path=xl/sharedStrings.xml><?xml version="1.0" encoding="utf-8"?>
<sst xmlns="http://schemas.openxmlformats.org/spreadsheetml/2006/main" count="1794" uniqueCount="384">
  <si>
    <t>CERTIFICACION</t>
  </si>
  <si>
    <t>PRODUCCION</t>
  </si>
  <si>
    <t>TOTAL</t>
  </si>
  <si>
    <t>1er Turno</t>
  </si>
  <si>
    <t>2do turno</t>
  </si>
  <si>
    <t xml:space="preserve">Fecha </t>
  </si>
  <si>
    <t xml:space="preserve">Total de muesta </t>
  </si>
  <si>
    <t>Suma de defectos</t>
  </si>
  <si>
    <t>PPM'S</t>
  </si>
  <si>
    <t>Fecha</t>
  </si>
  <si>
    <t>Total de muestra  por dia</t>
  </si>
  <si>
    <t>Total de defectos por dia</t>
  </si>
  <si>
    <t>Porcentaje de qc vs produccion</t>
  </si>
  <si>
    <t>Material Revisado 1er Turno</t>
  </si>
  <si>
    <t>Material Revisado 2do Turno</t>
  </si>
  <si>
    <t>Conteo &amp; Mezclados</t>
  </si>
  <si>
    <t>INSPECTOR</t>
  </si>
  <si>
    <t xml:space="preserve">T. NORMAL </t>
  </si>
  <si>
    <t>T. EXTRA</t>
  </si>
  <si>
    <t xml:space="preserve">Total </t>
  </si>
  <si>
    <t>Total</t>
  </si>
  <si>
    <t>DEFECTOS</t>
  </si>
  <si>
    <t>MENSUAL</t>
  </si>
  <si>
    <t>HOY</t>
  </si>
  <si>
    <t xml:space="preserve">DEFECTO </t>
  </si>
  <si>
    <t>DEFECTO</t>
  </si>
  <si>
    <t>TOP 5 (Defectos)</t>
  </si>
  <si>
    <t>PPMS POR MES</t>
  </si>
  <si>
    <t>MES</t>
  </si>
  <si>
    <t xml:space="preserve">Total de muestra </t>
  </si>
  <si>
    <t>Porcentaje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</si>
  <si>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</si>
  <si>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</si>
  <si>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</si>
  <si>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</si>
  <si>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</si>
  <si>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</si>
  <si>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</si>
  <si>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</si>
  <si>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</si>
  <si>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</si>
  <si>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</si>
  <si>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</si>
  <si>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ACUMULADO MENSUAL</t>
  </si>
  <si>
    <t>ACUMULADO DE HOY</t>
  </si>
  <si>
    <t>1er TURNO</t>
  </si>
  <si>
    <t>2do TURNO</t>
  </si>
  <si>
    <t>Inspector</t>
  </si>
  <si>
    <t>Piezas revisadas</t>
  </si>
  <si>
    <t>Defectos</t>
  </si>
  <si>
    <t>1er turno</t>
  </si>
  <si>
    <t>Inspector con mas defectos</t>
  </si>
  <si>
    <t>Orden</t>
  </si>
  <si>
    <t xml:space="preserve">Defecto </t>
  </si>
  <si>
    <t>Mesa</t>
  </si>
  <si>
    <t>Color</t>
  </si>
  <si>
    <t>qty</t>
  </si>
  <si>
    <t>Sello</t>
  </si>
  <si>
    <t>Defecto</t>
  </si>
  <si>
    <t>Cantidad</t>
  </si>
  <si>
    <t>TOTAL DEL MES:</t>
  </si>
  <si>
    <t>TOTAL DE HOY</t>
  </si>
  <si>
    <t>Values</t>
  </si>
  <si>
    <t>Sum of T. EXTRA</t>
  </si>
  <si>
    <t xml:space="preserve">Sum of T. NORMAL </t>
  </si>
  <si>
    <t>Sum of TOTAL</t>
  </si>
  <si>
    <t xml:space="preserve"> </t>
  </si>
  <si>
    <t>Sum of PPM'S</t>
  </si>
  <si>
    <t>Sum of PPM'S2</t>
  </si>
  <si>
    <t>1 Turno</t>
  </si>
  <si>
    <t>2Turno</t>
  </si>
  <si>
    <t>C &amp; M</t>
  </si>
  <si>
    <t>TOTAL REV.</t>
  </si>
  <si>
    <t>PPMS por Inspector</t>
  </si>
  <si>
    <t>TOP 3 por Turno</t>
  </si>
  <si>
    <t>Suma de PPM'S</t>
  </si>
  <si>
    <t>Suma de Suma de defectos</t>
  </si>
  <si>
    <t>Suma de Defectos</t>
  </si>
  <si>
    <t>Row Labels</t>
  </si>
  <si>
    <t>Grand Total</t>
  </si>
  <si>
    <t>3er turno</t>
  </si>
  <si>
    <t>ADRIAN CALDERON MORENO</t>
  </si>
  <si>
    <t>ALBINO ANTONIO PEREZ</t>
  </si>
  <si>
    <t>ALEXANDER HERNANDEZ HDEZ.</t>
  </si>
  <si>
    <t>ALEXIS RINCON MORALES</t>
  </si>
  <si>
    <t>ALFREDO CISNEROS UTRERA</t>
  </si>
  <si>
    <t>ALMA CONSTANTINA BORJA MARTINEZ</t>
  </si>
  <si>
    <t>ANDREA IRATXE CONDE MENENDEZ</t>
  </si>
  <si>
    <t>AXEL MARIN GUEVARA</t>
  </si>
  <si>
    <t>BERNARDO DANIEL GALLEGOS SANTANA</t>
  </si>
  <si>
    <t>BRENDA YANETH MORA CARRILLO</t>
  </si>
  <si>
    <t>CELIA NICOLAS ANTONIO</t>
  </si>
  <si>
    <t>CESAR AUGUSTO HERNANDEZ HERNANDEZ</t>
  </si>
  <si>
    <t>CEYDI CORREA HERNANDEZ</t>
  </si>
  <si>
    <t>CHRISTIAN HUERTA SANTOS</t>
  </si>
  <si>
    <t>CLARIVEL LEZAMA CALIPA</t>
  </si>
  <si>
    <t>DANA YARETH CONDE MENENDEZ</t>
  </si>
  <si>
    <t>DEIVID OCTAVIO JIMENEZ JUAREZ</t>
  </si>
  <si>
    <t>EDUARDO LUIS CELIS QUINTERO</t>
  </si>
  <si>
    <t>EDUARDO RAMOS HERNANDEZ</t>
  </si>
  <si>
    <t>EFREN GARCIA AVILA</t>
  </si>
  <si>
    <t>ELIGIO RAMOS GONZALEZ</t>
  </si>
  <si>
    <t>ELIOENAI HERNANDEZ HERNANDEZ</t>
  </si>
  <si>
    <t>EMILY MENDOZA CIGARROA</t>
  </si>
  <si>
    <t>ERIK MARIN MARTINEZ GONZALEZ</t>
  </si>
  <si>
    <t>ESMERALDA MAROTO RAMON</t>
  </si>
  <si>
    <t>EUNICE ALEJANDRA GUZMAN CID</t>
  </si>
  <si>
    <t>FELIPE MENENDEZ BOLANOS</t>
  </si>
  <si>
    <t>FELIPE VIVANCO MENDOZA</t>
  </si>
  <si>
    <t>FELIX AGUSTIN DIONICIO</t>
  </si>
  <si>
    <t>FRANCISCO CHAPOL SOTO</t>
  </si>
  <si>
    <t>GUADALUPE ABRIS LUNA</t>
  </si>
  <si>
    <t>HELADIO RODRIGUEZ HEREDIA</t>
  </si>
  <si>
    <t>ISAI GOMEZ SUAREZ</t>
  </si>
  <si>
    <t>ISMAEL GRANDE VICENTE</t>
  </si>
  <si>
    <t>IVETH MERARID AGUILAR BARRIENTOS</t>
  </si>
  <si>
    <t>JAZMIN MENENDEZ GARCIA</t>
  </si>
  <si>
    <t>JONATAR GONZALEZ MARQUEZ</t>
  </si>
  <si>
    <t>JOSE EDUARDO MARTINEZ ORTEGA</t>
  </si>
  <si>
    <t>JOSE FERNANDO DIAZ CASTRO</t>
  </si>
  <si>
    <t>JOSE IGNACIO PEREZ ZAMORA</t>
  </si>
  <si>
    <t>JOSUE SALOMON PANTALEON FLORES</t>
  </si>
  <si>
    <t>JOVANNA DULCE DE LA LUZ BALCAZAR CRUZ</t>
  </si>
  <si>
    <t>JUAN ANTONIO GARZON MARTINEZ</t>
  </si>
  <si>
    <t>LILIA CORTES OROPEZA</t>
  </si>
  <si>
    <t>LIZBETH PEREIDA JORGE</t>
  </si>
  <si>
    <t>LORENA RAMIREZ MONTERO</t>
  </si>
  <si>
    <t>LUIS ADRIAN NAVA ALONSO</t>
  </si>
  <si>
    <t>LUIS ALBERTO GREGORIO CARRERA</t>
  </si>
  <si>
    <t>LUIS ANGEL GOMEZ LUNA</t>
  </si>
  <si>
    <t>LUIS EDUARDO PEREZ TREVINO</t>
  </si>
  <si>
    <t>MARCOS ROSENDO MARTINEZ GONZALEZ</t>
  </si>
  <si>
    <t>MARIA DEL CARMEN TEMIS ROSAS</t>
  </si>
  <si>
    <t>MARIBEL GARCIA CRUZ</t>
  </si>
  <si>
    <t>MARICELA LOZANO MERINO</t>
  </si>
  <si>
    <t>MARIELA CORONA DELGADO</t>
  </si>
  <si>
    <t>MAYRA PEREZ SOLIS</t>
  </si>
  <si>
    <t>NINIVE SOLIS JIMENEZ</t>
  </si>
  <si>
    <t>ORLANDO HERNANDEZ BAUTISTA</t>
  </si>
  <si>
    <t>PALOMA GABRIELA REYES GARCIA</t>
  </si>
  <si>
    <t>PAULINA ESTALA RODRIGUEZ</t>
  </si>
  <si>
    <t>PEDRO MARTINEZ ESTUDILLO</t>
  </si>
  <si>
    <t>PERLA RAMOS ARELLANO</t>
  </si>
  <si>
    <t>RODRIGO ENRIQUE MENDOZA PEREZ</t>
  </si>
  <si>
    <t>ROMARIO DE JESUS RODRIGUEZ VIRGEN</t>
  </si>
  <si>
    <t>ROMEO LOPEZ ROBLERO</t>
  </si>
  <si>
    <t>SANTIAGO SANCHEZ ZETINA</t>
  </si>
  <si>
    <t>SIXTO SABINO GALAN</t>
  </si>
  <si>
    <t>CICATRIZ ABIERTA</t>
  </si>
  <si>
    <t>MAL CORTE</t>
  </si>
  <si>
    <t>MEZCLADAS</t>
  </si>
  <si>
    <t>SOBRANTES</t>
  </si>
  <si>
    <t>GARRAPATAS</t>
  </si>
  <si>
    <t>DEFECTO DE PINTURA</t>
  </si>
  <si>
    <t>FALTANTES</t>
  </si>
  <si>
    <t>CICATRIZ CERRADA</t>
  </si>
  <si>
    <t>SKIP FUERA DE ESPECIFICACION</t>
  </si>
  <si>
    <t>MULTICICATRIZ</t>
  </si>
  <si>
    <t>ARRUGAS DE CUELLO</t>
  </si>
  <si>
    <t>CORTE DE CARNICERO</t>
  </si>
  <si>
    <t>MAL PERFORADO</t>
  </si>
  <si>
    <t>RASGUNO</t>
  </si>
  <si>
    <t>POROS</t>
  </si>
  <si>
    <t>CRACK</t>
  </si>
  <si>
    <t>FLANK</t>
  </si>
  <si>
    <t>LAMINADO DESPEGADO</t>
  </si>
  <si>
    <t>LISA</t>
  </si>
  <si>
    <t>MAL ACABADO</t>
  </si>
  <si>
    <t>BLANCUZCA</t>
  </si>
  <si>
    <t>NUMEROS</t>
  </si>
  <si>
    <t>PAQUETE SIN SELLAR</t>
  </si>
  <si>
    <t>MAL ALINEADO</t>
  </si>
  <si>
    <t>PAQUETE MEZCLADO</t>
  </si>
  <si>
    <t>PITS</t>
  </si>
  <si>
    <t>CORTADA</t>
  </si>
  <si>
    <t>VENA</t>
  </si>
  <si>
    <t>MUESCAS PEGADAS</t>
  </si>
  <si>
    <t>GOLPE</t>
  </si>
  <si>
    <t>FIBRA</t>
  </si>
  <si>
    <t>DELGADA</t>
  </si>
  <si>
    <t>DISTORCIONADA</t>
  </si>
  <si>
    <t>BRILLO</t>
  </si>
  <si>
    <t>FIERRO</t>
  </si>
  <si>
    <t>GRUBS</t>
  </si>
  <si>
    <t>PERFORADA</t>
  </si>
  <si>
    <t>PIEZA CON PLUMA</t>
  </si>
  <si>
    <t>PIEL EQUIVOCADA</t>
  </si>
  <si>
    <t>PAQUETES FALTANTES</t>
  </si>
  <si>
    <t>HOJA MAL IDENTIFICADA</t>
  </si>
  <si>
    <t>HOJA SIN IDENTIFICAR</t>
  </si>
  <si>
    <t>FUERA DE ESPECIFICACION</t>
  </si>
  <si>
    <t>CANDADO FLOJO</t>
  </si>
  <si>
    <t>DOBLES</t>
  </si>
  <si>
    <t>ESTRIAS</t>
  </si>
  <si>
    <t>ETIQUETAS PEGADAS</t>
  </si>
  <si>
    <t>DISEÑO FUERA DE ESPECIFICACION</t>
  </si>
  <si>
    <t>DISTANCIA DE COSTURA A PERFO</t>
  </si>
  <si>
    <t>DISTANCIA DE SKIP</t>
  </si>
  <si>
    <t>CHICA</t>
  </si>
  <si>
    <t>AYUDA VISUAL SIN SE</t>
  </si>
  <si>
    <t>CONTAMINACION</t>
  </si>
  <si>
    <t>GRANDE</t>
  </si>
  <si>
    <t>GRUESA</t>
  </si>
  <si>
    <t>HILO REVENTADO</t>
  </si>
  <si>
    <t>PERFORADO OBSTRUIDO</t>
  </si>
  <si>
    <t>PIEL QUEBRADA</t>
  </si>
  <si>
    <t>PIEL SIN CUERPO</t>
  </si>
  <si>
    <t>PIEZA SIN LAMINAR</t>
  </si>
  <si>
    <t>PAQUETE SIN LAMINAR</t>
  </si>
  <si>
    <t>PLIEGUES</t>
  </si>
  <si>
    <t>VACIO</t>
  </si>
  <si>
    <t>AMAYRANI JOSELYN SCHIAFFINI SOSA</t>
  </si>
  <si>
    <t>DIANA LIZET MENDEZ ANTONIO</t>
  </si>
  <si>
    <t>ADONIRAM BALCAZAR VIDANA</t>
  </si>
  <si>
    <t>NANCY JAZMIN SILVA GARCIA</t>
  </si>
  <si>
    <t>ROBERTO CARLOS MARTINEZ GONZALEZ</t>
  </si>
  <si>
    <t>CLAUDIA OLIVERA MONTOR</t>
  </si>
  <si>
    <t>FILEMON MARTINEZ FELIPE</t>
  </si>
  <si>
    <t>AZUCENA CONCEPCION ESPINOSA VICTORIANO</t>
  </si>
  <si>
    <t>RICARDO JAHIR AVILA CONTRERAS</t>
  </si>
  <si>
    <t>ADRIANA LUCILA SOTO REYES</t>
  </si>
  <si>
    <t>NANCY GARCIA PEREZ</t>
  </si>
  <si>
    <t>YASSURI DIANELA ALVAREZ CANO</t>
  </si>
  <si>
    <t>LORENZO FLORES VILLA</t>
  </si>
  <si>
    <t>FERNANDO RAMIREZ OLIVARES</t>
  </si>
  <si>
    <t>GUADALUPE ROMERO CABRERA</t>
  </si>
  <si>
    <t>RAFAEL BALCAZAR VIDANA</t>
  </si>
  <si>
    <t>CORNELIO DE LEON SALAS</t>
  </si>
  <si>
    <t>MARIBEL JOSE PEREZ</t>
  </si>
  <si>
    <t>HECTOR MANUEL BORJA MARTINEZ</t>
  </si>
  <si>
    <t>JAZMIN PARRAL GARCIA</t>
  </si>
  <si>
    <t>GLADYS DEL CARMEN MARTINEZ PATRACA</t>
  </si>
  <si>
    <t>ESMERALDA RESENDIZ RAMOS</t>
  </si>
  <si>
    <t>LUIS EDUARDO FELIPE CRUZ</t>
  </si>
  <si>
    <t>JAVIER CEHUALATL AGUILAR</t>
  </si>
  <si>
    <t>OSVALDO CATALINO VICENTE</t>
  </si>
  <si>
    <t>ERIKA ILEANA ESPINOZA RIVERA</t>
  </si>
  <si>
    <t>DAMARIS MARILU HERNANDEZ VILLATORO</t>
  </si>
  <si>
    <t>ANGEL JAVIER TORRES RAMIREZ</t>
  </si>
  <si>
    <t>FLOR NATALY GOMEZ GALAN</t>
  </si>
  <si>
    <t>NORMA MARTINEZ CRUZ</t>
  </si>
  <si>
    <t>SILVIA IVONNE GARCIA MIRELES</t>
  </si>
  <si>
    <t>MARVIN RAMON CASANOVA VELEZ</t>
  </si>
  <si>
    <t>LAURA LOPEZ LOPEZ</t>
  </si>
  <si>
    <t>NATIVIDAD MAGIN SOSOL</t>
  </si>
  <si>
    <t>ZAHIREL DEL CARMEN JIMENEZ DOMINGUEZ</t>
  </si>
  <si>
    <t>JUAN CARLOS LOPEZ SANTIAGO</t>
  </si>
  <si>
    <t>GABRIEL HERNANDEZ GARCIA</t>
  </si>
  <si>
    <t>FREDY REYES URIBE</t>
  </si>
  <si>
    <t>IRMA NATALIA FLORES LOPEZ</t>
  </si>
  <si>
    <t>LUZ ADRIANA GUEVARA MERAZ</t>
  </si>
  <si>
    <t>LAURA SOTO DIAZ</t>
  </si>
  <si>
    <t>DANNA CITLALLI SILVA VILLA</t>
  </si>
  <si>
    <t>JHOANA ITZEL HERNANDEZ GALINDO</t>
  </si>
  <si>
    <t>JOSE ALEXIS ESTEBAN AVILA</t>
  </si>
  <si>
    <t>CLARISA VIRIDIANA VAZQUEZ HERNANDEZ</t>
  </si>
  <si>
    <t>YENNI PERLA PARRA CASTRO</t>
  </si>
  <si>
    <t>EDGAR MANUEL ALMANZA CARRILLO</t>
  </si>
  <si>
    <t>ARY LAZARO LOPEZ</t>
  </si>
  <si>
    <t>JOSAFAT JIMENEZ ALEGRIA</t>
  </si>
  <si>
    <t>EDER NOEL CASTILLO VARGAS</t>
  </si>
  <si>
    <t>ANDRES DE JESUS PEREZ DIAZ</t>
  </si>
  <si>
    <t>TITO JONAN JIMENEZ HERNANDEZ</t>
  </si>
  <si>
    <t>PERLA ITALY MENDOZA ARENAS</t>
  </si>
  <si>
    <t>NICACIO CASTILLEJOS ANTONIO</t>
  </si>
  <si>
    <t>NAHUM SANCHEZ BERDON</t>
  </si>
  <si>
    <t>ALEJANDRO ACOSTA AGUILERA</t>
  </si>
  <si>
    <t>JUDITH MONTES VAQUERA</t>
  </si>
  <si>
    <t>HERMICENDO CALEB ZAVALA ZAVALA</t>
  </si>
  <si>
    <t>LILIA ROSA MADRIGAL LOPEZ</t>
  </si>
  <si>
    <t>ROSARIO RUEDAS SUBIRIAS</t>
  </si>
  <si>
    <t>BLANCA ESTELA GUZMAN CALDERA</t>
  </si>
  <si>
    <t>LUIS ENRIQUE AVALOS FERNANDEZ</t>
  </si>
  <si>
    <t>ELIZABETH MENESES MIGUEL</t>
  </si>
  <si>
    <t>ADOLFO ANGEL SANTIAGO RAMOS</t>
  </si>
  <si>
    <t>GISELA JOHANA BOLANOS RAMOS</t>
  </si>
  <si>
    <t>REYES JOAQUIN FLORES</t>
  </si>
  <si>
    <t>JORGE ALBERTO GONZALEZ PEREZ</t>
  </si>
  <si>
    <t>ISABEL CRISTINA ALBARADO AGUILAR</t>
  </si>
  <si>
    <t>ANAYELI HERNANDEZ LAZARO</t>
  </si>
  <si>
    <t>GLORIA IVONNE MIMBELA GUTIERREZ</t>
  </si>
  <si>
    <t>NAYELI HERNANDEZ HERNANDEZ</t>
  </si>
  <si>
    <t>MICHEL ALEJANDRA ZAMORA LOPEZ</t>
  </si>
  <si>
    <t>GRACIELA MORALES JIMENEZ</t>
  </si>
  <si>
    <t>MELQUIADES CALIXTO MENDEZ</t>
  </si>
  <si>
    <t>YENNIFER GONZALEZ CONTRERAS</t>
  </si>
  <si>
    <t>JOSE ANDRES ZAVALA ORTIZ</t>
  </si>
  <si>
    <t>SANTA MARGARITA VALADEZ GARCIA</t>
  </si>
  <si>
    <t>LUIS CARLOS MOYA MARTINEZ</t>
  </si>
  <si>
    <t>YOLANDA LOPEZ ROBLERO</t>
  </si>
  <si>
    <t>FELICITAS FELIX ANAYA</t>
  </si>
  <si>
    <t>RAFAEL JERONIMO REYES</t>
  </si>
  <si>
    <t>OZIEL PALMA NAPE</t>
  </si>
  <si>
    <t>MIGUEL ANGEL JOSE CRUZ</t>
  </si>
  <si>
    <t>CAROLINA FRANCISCO HERNANDEZ</t>
  </si>
  <si>
    <t>MARCELO AQUINO DECEANO</t>
  </si>
  <si>
    <t>ANGEL MANUEL VIALBA LUIS</t>
  </si>
  <si>
    <t>MARIA DE LOS ANGELES XIMELLO VALDIVIA</t>
  </si>
  <si>
    <t>CELIN ADOLFO ARREOLA PEREZ</t>
  </si>
  <si>
    <t>YANELI VELA GARCIA</t>
  </si>
  <si>
    <t>JOSE LORENZO FELIX</t>
  </si>
  <si>
    <t>ABEL DE JESUS TENCO CAPISTRAN</t>
  </si>
  <si>
    <t>GUILLERMO SANTANA QUINTERO</t>
  </si>
  <si>
    <t>BLANCA CRISTAL MORENO PEREZ</t>
  </si>
  <si>
    <t>NANCY LOPEZ TAPIA</t>
  </si>
  <si>
    <t>AMELIA JORGE NICOLAS</t>
  </si>
  <si>
    <t>EVARISTO FRANCISCO CARMONA</t>
  </si>
  <si>
    <t>YADIRA GAMBOA AGUIRRE</t>
  </si>
  <si>
    <t>FLAVIO OJEDA OROSIO</t>
  </si>
  <si>
    <t>LUIS GUSTAVO MERIDA SANCHEZ</t>
  </si>
  <si>
    <t>JESUS MIGUEL REYES RODRIGUEZ</t>
  </si>
  <si>
    <t>ROXANA EDITH LARA AMADOR</t>
  </si>
  <si>
    <t>MARIA ABIGAIL DE LA CRUZ GUZMAN</t>
  </si>
  <si>
    <t>JAQUELINE ALAVEZ CARDOZA</t>
  </si>
  <si>
    <t>DIANA ALEJANDRA MONTELONGO SILVA</t>
  </si>
  <si>
    <t>JOSE LUIS MENDEZ JUAN</t>
  </si>
  <si>
    <t>PASCUAL CARRILLO BELTRAN</t>
  </si>
  <si>
    <t>RUFINA HERNANDEZ TORRES</t>
  </si>
  <si>
    <t>JESSICA IVONNE BERUMEN LOPEZ</t>
  </si>
  <si>
    <t>YAMILET NOHEMA GARCIA MARTINEZ</t>
  </si>
  <si>
    <t>MARICRUZ CANO MENESES</t>
  </si>
  <si>
    <t>LORENA HERNANDEZ ESPARZA</t>
  </si>
  <si>
    <t>NICOLAS CORTEZ DE JESUS</t>
  </si>
  <si>
    <t>ANA LAURA LOPEZ HILARIO</t>
  </si>
  <si>
    <t>XOCHILT MATA MOSQUEDA</t>
  </si>
  <si>
    <t>LUIS EDUARDO SIERRA IBARRA</t>
  </si>
  <si>
    <t>FRANCISCO JAVIER GONZALEZ MENDEZ</t>
  </si>
  <si>
    <t>MARVIN CRUZ SANTOS</t>
  </si>
  <si>
    <t>VICTOR MANUEL ARIAS JIMENEZ</t>
  </si>
  <si>
    <t>LUIS ALBERTO HERNANDEZ HERNANDEZ</t>
  </si>
  <si>
    <t>OSCAR PIEDRA SALAS</t>
  </si>
  <si>
    <t>GREGORIO FUENTES GARCIA</t>
  </si>
  <si>
    <t>ALEXIS DIAZ REYES</t>
  </si>
  <si>
    <t>LUIS GERARDO MATEOS JIMENEZ</t>
  </si>
  <si>
    <t>VELIA ENRIQUETA LANDEROS RODRIGUEZ</t>
  </si>
  <si>
    <t>CRISTHIAN OCTAVIO NARCISO JUAN</t>
  </si>
  <si>
    <t>WENDY BERENICE PEREZ FRANCISCO</t>
  </si>
  <si>
    <t>ALEXIS MORALES FERNANDEZ</t>
  </si>
  <si>
    <t>ALEXANDER ORDONEZ MORA</t>
  </si>
  <si>
    <t>SELENE MARTINEZ TREJO</t>
  </si>
  <si>
    <t>ISIDRO GONZALEZ VICENTE</t>
  </si>
  <si>
    <t>PABLO LOPEZ GUATEMALA</t>
  </si>
  <si>
    <t>JORGE IVAN JARAMILLO TAPIA</t>
  </si>
  <si>
    <t>LEANDRO LOPEZ HERNANDEZ</t>
  </si>
  <si>
    <t>EDGAR YAHIR DOMINGUEZ MARTINEZ</t>
  </si>
  <si>
    <t>FRANCISCO ANTONIO MORALES MARTINEZ</t>
  </si>
  <si>
    <t>ISABEL REYES RUIZ</t>
  </si>
  <si>
    <t>JUSTINA HERNANDEZ GUTIERREZ</t>
  </si>
  <si>
    <t>CHRISTIAN ANTONIO SALAS CRUZ</t>
  </si>
  <si>
    <t>ABIGAIL REYES LOPEZ</t>
  </si>
  <si>
    <t>EDWIN LEONEL CEPEDA TORRES</t>
  </si>
  <si>
    <t>RAUL DURAN QUINTERO</t>
  </si>
  <si>
    <t>LUCIA LOPEZ ESTRADA</t>
  </si>
  <si>
    <t>LUIS ALFREDO MARIANO JOAQUIN</t>
  </si>
  <si>
    <t>MAXIMINO ESPINOZA DOMINGUEZ</t>
  </si>
  <si>
    <t>GILBERTO IVAN MARTINEZ SALAZAR</t>
  </si>
  <si>
    <t>ROBERTO CARLOS AGUILAR REYES</t>
  </si>
  <si>
    <t>MARIA MONSERRAT MENDOZA GONZALEZ</t>
  </si>
  <si>
    <t>MIGUEL DE JESUS TIMOTEO MARTINEZ</t>
  </si>
  <si>
    <t>PERLA IVETH HERNANDEZ CASTILLO</t>
  </si>
  <si>
    <t>GUADALUPE GETZEMANY ZAMORA LOPEZ</t>
  </si>
  <si>
    <t>ROBERTO OCANA CASTILLEJOS</t>
  </si>
  <si>
    <t>RUBEN SANTANA CRISTOBAL</t>
  </si>
  <si>
    <t>GREGORIO DOMINGUEZ RAMIREZ</t>
  </si>
  <si>
    <t>BLANCA LUZ GARCIA CRUZ</t>
  </si>
  <si>
    <t>YAIR CASTANEDA MARQUEZ</t>
  </si>
  <si>
    <t>CARLOS GEORGE MIGUEL LOPEZ</t>
  </si>
  <si>
    <t>BLANCA FLOR GARCIA RUBINOS</t>
  </si>
  <si>
    <t>ADOLFO ROQUE ANTONIO</t>
  </si>
  <si>
    <t>ELIZABETH HERNANDEZ PACHECO</t>
  </si>
  <si>
    <t>ENRIQUE RODRIGUEZ PEREZ</t>
  </si>
  <si>
    <t>JOSE LUIS GONZALEZ ARRONIZ</t>
  </si>
  <si>
    <t>OCTAVIO GASPAR ORTIZ</t>
  </si>
  <si>
    <t>MARTINA LINARES SAN GABRIEL</t>
  </si>
  <si>
    <t>LIZBETH JUAREZ RAMIREZ</t>
  </si>
  <si>
    <t>KARINA GONZALEZ CAMPOS</t>
  </si>
  <si>
    <t>EDGAR MANUEL ARMIJO CAMPOS</t>
  </si>
  <si>
    <t>TANIA YAZMIN PEREZ PEREZ</t>
  </si>
  <si>
    <t>INSPECCION PROCESO</t>
  </si>
  <si>
    <t xml:space="preserve">Total de PPM'S </t>
  </si>
  <si>
    <t>?</t>
  </si>
  <si>
    <t>Etiquetas de fila</t>
  </si>
  <si>
    <t>Total general</t>
  </si>
  <si>
    <t>m@steradm1n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</si>
</sst>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d\-mmm;@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11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5" tint="-0.499984740745262"/>
      <name val="Calibri"/>
      <family val="2"/>
      <scheme val="minor"/>
    </font>
    <font>
      <sz val="16"/>
      <color theme="5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name val="Calibri"/>
      <family val="2"/>
      <scheme val="minor"/>
    </font>
    <font>
      <b/>
      <sz val="2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7BB43"/>
        <bgColor indexed="64"/>
      </patternFill>
    </fill>
    <fill>
      <patternFill patternType="solid">
        <fgColor rgb="FFC6EFCE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9" fillId="0" borderId="0" applyFont="0" applyFill="0" applyBorder="0" applyAlignment="0" applyProtection="0"/>
    <xf numFmtId="0" fontId="29" fillId="23" borderId="0" applyNumberFormat="0" applyBorder="0" applyAlignment="0" applyProtection="0"/>
    <xf numFmtId="0" fontId="30" fillId="0" borderId="0" applyNumberFormat="0" applyFill="0" applyBorder="0" applyAlignment="0" applyProtection="0"/>
  </cellStyleXfs>
  <cellXfs count="291">
    <xf numFmtId="0" fontId="0" fillId="0" borderId="0" xfId="0"/>
    <xf numFmtId="0" fontId="0" fillId="0" borderId="0" xfId="0" applyFill="1" applyBorder="1"/>
    <xf numFmtId="0" fontId="3" fillId="0" borderId="0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2" fillId="0" borderId="14" xfId="0" applyNumberFormat="1" applyFont="1" applyBorder="1" applyAlignment="1">
      <alignment horizontal="center" vertical="top"/>
    </xf>
    <xf numFmtId="0" fontId="0" fillId="0" borderId="15" xfId="0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0" borderId="7" xfId="0" applyBorder="1"/>
    <xf numFmtId="16" fontId="0" fillId="0" borderId="0" xfId="0" applyNumberFormat="1"/>
    <xf numFmtId="0" fontId="5" fillId="0" borderId="0" xfId="0" applyFont="1" applyBorder="1" applyAlignment="1">
      <alignment vertical="center"/>
    </xf>
    <xf numFmtId="0" fontId="0" fillId="0" borderId="19" xfId="0" applyBorder="1"/>
    <xf numFmtId="1" fontId="0" fillId="0" borderId="19" xfId="0" applyNumberFormat="1" applyBorder="1" applyAlignment="1">
      <alignment horizontal="center" vertical="center"/>
    </xf>
    <xf numFmtId="0" fontId="2" fillId="0" borderId="20" xfId="0" applyNumberFormat="1" applyFont="1" applyBorder="1" applyAlignment="1">
      <alignment horizontal="center" vertical="top"/>
    </xf>
    <xf numFmtId="0" fontId="0" fillId="4" borderId="4" xfId="0" applyFont="1" applyFill="1" applyBorder="1" applyAlignment="1">
      <alignment horizontal="center"/>
    </xf>
    <xf numFmtId="0" fontId="0" fillId="4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9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6" fillId="0" borderId="20" xfId="0" applyFont="1" applyBorder="1" applyAlignment="1">
      <alignment horizontal="left" indent="1"/>
    </xf>
    <xf numFmtId="0" fontId="0" fillId="0" borderId="15" xfId="0" applyFont="1" applyBorder="1"/>
    <xf numFmtId="0" fontId="0" fillId="0" borderId="22" xfId="0" applyFont="1" applyBorder="1"/>
    <xf numFmtId="0" fontId="0" fillId="0" borderId="17" xfId="0" applyFont="1" applyBorder="1"/>
    <xf numFmtId="0" fontId="0" fillId="0" borderId="0" xfId="0" applyFont="1" applyFill="1" applyBorder="1"/>
    <xf numFmtId="0" fontId="0" fillId="0" borderId="14" xfId="0" applyBorder="1"/>
    <xf numFmtId="0" fontId="0" fillId="0" borderId="23" xfId="0" applyBorder="1"/>
    <xf numFmtId="0" fontId="0" fillId="0" borderId="8" xfId="0" applyBorder="1"/>
    <xf numFmtId="0" fontId="0" fillId="0" borderId="20" xfId="0" applyBorder="1"/>
    <xf numFmtId="0" fontId="0" fillId="0" borderId="15" xfId="0" applyBorder="1"/>
    <xf numFmtId="0" fontId="0" fillId="0" borderId="24" xfId="0" applyBorder="1"/>
    <xf numFmtId="0" fontId="0" fillId="0" borderId="20" xfId="0" applyFont="1" applyBorder="1" applyAlignment="1">
      <alignment horizontal="left" indent="1"/>
    </xf>
    <xf numFmtId="0" fontId="2" fillId="0" borderId="0" xfId="0" applyFont="1" applyFill="1" applyBorder="1"/>
    <xf numFmtId="0" fontId="7" fillId="0" borderId="0" xfId="0" applyFont="1" applyFill="1" applyBorder="1"/>
    <xf numFmtId="0" fontId="8" fillId="6" borderId="20" xfId="0" applyFont="1" applyFill="1" applyBorder="1" applyAlignment="1"/>
    <xf numFmtId="0" fontId="2" fillId="0" borderId="0" xfId="0" applyFont="1" applyBorder="1" applyAlignment="1">
      <alignment horizontal="center" wrapText="1"/>
    </xf>
    <xf numFmtId="0" fontId="0" fillId="0" borderId="20" xfId="0" applyBorder="1" applyAlignment="1"/>
    <xf numFmtId="0" fontId="9" fillId="0" borderId="0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11" xfId="0" applyBorder="1"/>
    <xf numFmtId="0" fontId="0" fillId="0" borderId="0" xfId="0" applyBorder="1"/>
    <xf numFmtId="0" fontId="10" fillId="0" borderId="9" xfId="0" applyFont="1" applyBorder="1" applyAlignment="1">
      <alignment horizontal="right"/>
    </xf>
    <xf numFmtId="0" fontId="9" fillId="0" borderId="28" xfId="0" applyFont="1" applyBorder="1"/>
    <xf numFmtId="0" fontId="11" fillId="0" borderId="15" xfId="0" applyFont="1" applyBorder="1" applyAlignment="1">
      <alignment horizontal="center" vertical="center"/>
    </xf>
    <xf numFmtId="0" fontId="6" fillId="0" borderId="25" xfId="0" applyFont="1" applyBorder="1" applyAlignment="1">
      <alignment horizontal="left" indent="1"/>
    </xf>
    <xf numFmtId="0" fontId="0" fillId="0" borderId="29" xfId="0" applyFont="1" applyBorder="1"/>
    <xf numFmtId="0" fontId="0" fillId="0" borderId="30" xfId="0" applyFont="1" applyBorder="1"/>
    <xf numFmtId="0" fontId="12" fillId="0" borderId="25" xfId="0" applyFont="1" applyBorder="1" applyAlignment="1">
      <alignment horizontal="left" indent="1"/>
    </xf>
    <xf numFmtId="0" fontId="2" fillId="0" borderId="29" xfId="0" applyFont="1" applyBorder="1"/>
    <xf numFmtId="0" fontId="2" fillId="0" borderId="30" xfId="0" applyFont="1" applyBorder="1"/>
    <xf numFmtId="0" fontId="12" fillId="6" borderId="31" xfId="0" applyFont="1" applyFill="1" applyBorder="1" applyAlignment="1">
      <alignment horizontal="left" indent="1"/>
    </xf>
    <xf numFmtId="0" fontId="2" fillId="0" borderId="26" xfId="0" applyFont="1" applyBorder="1"/>
    <xf numFmtId="0" fontId="2" fillId="0" borderId="32" xfId="0" applyFont="1" applyBorder="1"/>
    <xf numFmtId="164" fontId="1" fillId="0" borderId="31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1" fontId="1" fillId="0" borderId="34" xfId="0" applyNumberFormat="1" applyFont="1" applyBorder="1" applyAlignment="1">
      <alignment horizontal="center" vertical="center"/>
    </xf>
    <xf numFmtId="0" fontId="1" fillId="0" borderId="0" xfId="0" applyFont="1"/>
    <xf numFmtId="0" fontId="10" fillId="6" borderId="4" xfId="0" applyFont="1" applyFill="1" applyBorder="1" applyAlignment="1">
      <alignment horizontal="right"/>
    </xf>
    <xf numFmtId="0" fontId="7" fillId="6" borderId="9" xfId="0" applyFont="1" applyFill="1" applyBorder="1"/>
    <xf numFmtId="0" fontId="7" fillId="6" borderId="28" xfId="0" applyFont="1" applyFill="1" applyBorder="1"/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/>
    </xf>
    <xf numFmtId="0" fontId="11" fillId="0" borderId="35" xfId="0" applyFont="1" applyBorder="1" applyAlignment="1">
      <alignment vertical="top"/>
    </xf>
    <xf numFmtId="0" fontId="17" fillId="0" borderId="35" xfId="0" applyFont="1" applyBorder="1" applyAlignment="1">
      <alignment horizontal="center" vertical="top"/>
    </xf>
    <xf numFmtId="0" fontId="17" fillId="0" borderId="0" xfId="0" applyFont="1" applyBorder="1" applyAlignment="1">
      <alignment horizontal="center" vertical="top"/>
    </xf>
    <xf numFmtId="0" fontId="11" fillId="0" borderId="14" xfId="0" applyFont="1" applyBorder="1" applyAlignment="1">
      <alignment vertical="top"/>
    </xf>
    <xf numFmtId="1" fontId="2" fillId="0" borderId="7" xfId="0" applyNumberFormat="1" applyFont="1" applyFill="1" applyBorder="1" applyAlignment="1" applyProtection="1">
      <alignment horizontal="center"/>
    </xf>
    <xf numFmtId="1" fontId="0" fillId="0" borderId="0" xfId="0" applyNumberFormat="1"/>
    <xf numFmtId="0" fontId="11" fillId="0" borderId="36" xfId="0" applyFont="1" applyBorder="1" applyAlignment="1">
      <alignment vertical="top"/>
    </xf>
    <xf numFmtId="0" fontId="0" fillId="0" borderId="0" xfId="0" applyFont="1" applyAlignment="1">
      <alignment horizontal="left"/>
    </xf>
    <xf numFmtId="0" fontId="0" fillId="0" borderId="0" xfId="0" applyFont="1"/>
    <xf numFmtId="0" fontId="11" fillId="0" borderId="37" xfId="0" applyFont="1" applyBorder="1" applyAlignment="1">
      <alignment vertical="top"/>
    </xf>
    <xf numFmtId="1" fontId="18" fillId="0" borderId="9" xfId="0" applyNumberFormat="1" applyFont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top"/>
    </xf>
    <xf numFmtId="0" fontId="18" fillId="0" borderId="9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1" fontId="1" fillId="0" borderId="6" xfId="0" applyNumberFormat="1" applyFont="1" applyBorder="1" applyAlignment="1">
      <alignment horizontal="center" vertical="center"/>
    </xf>
    <xf numFmtId="0" fontId="1" fillId="0" borderId="9" xfId="0" applyFont="1" applyBorder="1"/>
    <xf numFmtId="0" fontId="0" fillId="0" borderId="14" xfId="0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 wrapText="1"/>
    </xf>
    <xf numFmtId="0" fontId="0" fillId="9" borderId="6" xfId="0" applyFont="1" applyFill="1" applyBorder="1" applyAlignment="1">
      <alignment horizontal="center" vertical="center" wrapText="1"/>
    </xf>
    <xf numFmtId="0" fontId="0" fillId="9" borderId="9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0" fontId="0" fillId="10" borderId="8" xfId="0" applyFont="1" applyFill="1" applyBorder="1" applyAlignment="1">
      <alignment horizontal="center" vertical="center"/>
    </xf>
    <xf numFmtId="0" fontId="0" fillId="0" borderId="39" xfId="0" applyBorder="1"/>
    <xf numFmtId="0" fontId="0" fillId="0" borderId="40" xfId="0" applyFont="1" applyBorder="1"/>
    <xf numFmtId="0" fontId="0" fillId="0" borderId="41" xfId="0" applyFont="1" applyBorder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0" fillId="0" borderId="42" xfId="0" applyBorder="1"/>
    <xf numFmtId="0" fontId="0" fillId="0" borderId="19" xfId="0" applyFont="1" applyBorder="1"/>
    <xf numFmtId="0" fontId="0" fillId="12" borderId="10" xfId="0" applyFill="1" applyBorder="1"/>
    <xf numFmtId="0" fontId="0" fillId="12" borderId="0" xfId="0" applyFill="1" applyBorder="1"/>
    <xf numFmtId="0" fontId="0" fillId="12" borderId="13" xfId="0" applyFill="1" applyBorder="1"/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0" borderId="42" xfId="0" applyFont="1" applyBorder="1"/>
    <xf numFmtId="0" fontId="0" fillId="0" borderId="43" xfId="0" applyFont="1" applyBorder="1"/>
    <xf numFmtId="0" fontId="0" fillId="0" borderId="0" xfId="0" applyFill="1" applyBorder="1" applyAlignment="1">
      <alignment horizontal="center"/>
    </xf>
    <xf numFmtId="0" fontId="22" fillId="13" borderId="4" xfId="0" applyFont="1" applyFill="1" applyBorder="1"/>
    <xf numFmtId="0" fontId="22" fillId="13" borderId="5" xfId="0" applyFont="1" applyFill="1" applyBorder="1"/>
    <xf numFmtId="0" fontId="22" fillId="13" borderId="6" xfId="0" applyFont="1" applyFill="1" applyBorder="1"/>
    <xf numFmtId="0" fontId="0" fillId="14" borderId="44" xfId="0" applyFill="1" applyBorder="1"/>
    <xf numFmtId="0" fontId="0" fillId="14" borderId="43" xfId="0" applyFill="1" applyBorder="1"/>
    <xf numFmtId="0" fontId="0" fillId="14" borderId="45" xfId="0" applyFill="1" applyBorder="1"/>
    <xf numFmtId="0" fontId="0" fillId="12" borderId="37" xfId="0" applyFill="1" applyBorder="1"/>
    <xf numFmtId="0" fontId="0" fillId="12" borderId="38" xfId="0" applyFill="1" applyBorder="1"/>
    <xf numFmtId="0" fontId="0" fillId="12" borderId="12" xfId="0" applyFill="1" applyBorder="1"/>
    <xf numFmtId="0" fontId="0" fillId="14" borderId="42" xfId="0" applyFill="1" applyBorder="1"/>
    <xf numFmtId="0" fontId="0" fillId="14" borderId="19" xfId="0" applyFill="1" applyBorder="1"/>
    <xf numFmtId="0" fontId="0" fillId="14" borderId="22" xfId="0" applyFill="1" applyBorder="1"/>
    <xf numFmtId="0" fontId="0" fillId="14" borderId="46" xfId="0" applyFill="1" applyBorder="1"/>
    <xf numFmtId="0" fontId="0" fillId="14" borderId="47" xfId="0" applyFill="1" applyBorder="1"/>
    <xf numFmtId="0" fontId="0" fillId="14" borderId="32" xfId="0" applyFill="1" applyBorder="1"/>
    <xf numFmtId="0" fontId="0" fillId="0" borderId="22" xfId="0" applyBorder="1"/>
    <xf numFmtId="0" fontId="0" fillId="0" borderId="46" xfId="0" applyBorder="1"/>
    <xf numFmtId="0" fontId="0" fillId="0" borderId="47" xfId="0" applyBorder="1"/>
    <xf numFmtId="0" fontId="0" fillId="0" borderId="32" xfId="0" applyBorder="1"/>
    <xf numFmtId="0" fontId="15" fillId="0" borderId="37" xfId="0" applyFont="1" applyBorder="1"/>
    <xf numFmtId="0" fontId="15" fillId="0" borderId="12" xfId="0" applyFont="1" applyBorder="1"/>
    <xf numFmtId="0" fontId="15" fillId="0" borderId="4" xfId="0" applyFont="1" applyBorder="1"/>
    <xf numFmtId="0" fontId="15" fillId="0" borderId="6" xfId="0" applyFont="1" applyBorder="1"/>
    <xf numFmtId="0" fontId="0" fillId="15" borderId="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 wrapText="1"/>
    </xf>
    <xf numFmtId="0" fontId="0" fillId="15" borderId="3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3" fontId="18" fillId="0" borderId="0" xfId="0" applyNumberFormat="1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1" fontId="18" fillId="0" borderId="0" xfId="1" applyNumberFormat="1" applyFont="1" applyBorder="1" applyAlignment="1">
      <alignment horizontal="center" vertical="center"/>
    </xf>
    <xf numFmtId="3" fontId="23" fillId="0" borderId="0" xfId="0" applyNumberFormat="1" applyFont="1" applyBorder="1" applyAlignment="1">
      <alignment horizontal="left" vertical="center"/>
    </xf>
    <xf numFmtId="3" fontId="23" fillId="0" borderId="0" xfId="0" applyNumberFormat="1" applyFont="1" applyBorder="1" applyAlignment="1">
      <alignment vertical="center"/>
    </xf>
    <xf numFmtId="1" fontId="0" fillId="19" borderId="18" xfId="0" applyNumberFormat="1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 wrapText="1"/>
    </xf>
    <xf numFmtId="0" fontId="0" fillId="20" borderId="7" xfId="0" applyFont="1" applyFill="1" applyBorder="1" applyAlignment="1">
      <alignment horizontal="center" vertical="center" wrapText="1"/>
    </xf>
    <xf numFmtId="0" fontId="0" fillId="20" borderId="3" xfId="0" applyFont="1" applyFill="1" applyBorder="1" applyAlignment="1">
      <alignment horizontal="center" vertical="center" wrapText="1"/>
    </xf>
    <xf numFmtId="0" fontId="0" fillId="20" borderId="9" xfId="0" applyFont="1" applyFill="1" applyBorder="1" applyAlignment="1">
      <alignment horizontal="center" vertical="center"/>
    </xf>
    <xf numFmtId="0" fontId="0" fillId="21" borderId="1" xfId="0" applyFont="1" applyFill="1" applyBorder="1" applyAlignment="1">
      <alignment horizontal="center" vertical="center"/>
    </xf>
    <xf numFmtId="0" fontId="0" fillId="21" borderId="7" xfId="0" applyFont="1" applyFill="1" applyBorder="1" applyAlignment="1">
      <alignment horizontal="center" vertical="center" wrapText="1"/>
    </xf>
    <xf numFmtId="0" fontId="0" fillId="21" borderId="3" xfId="0" applyFont="1" applyFill="1" applyBorder="1" applyAlignment="1">
      <alignment horizontal="center" vertical="center" wrapText="1"/>
    </xf>
    <xf numFmtId="0" fontId="0" fillId="21" borderId="8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2" fillId="19" borderId="12" xfId="0" applyFont="1" applyFill="1" applyBorder="1" applyAlignment="1">
      <alignment horizontal="center" vertical="center" wrapText="1"/>
    </xf>
    <xf numFmtId="0" fontId="0" fillId="20" borderId="9" xfId="0" applyFill="1" applyBorder="1" applyAlignment="1">
      <alignment horizontal="center" vertical="center" wrapText="1"/>
    </xf>
    <xf numFmtId="0" fontId="0" fillId="20" borderId="6" xfId="0" applyFont="1" applyFill="1" applyBorder="1" applyAlignment="1">
      <alignment horizontal="center" vertical="center" wrapText="1"/>
    </xf>
    <xf numFmtId="0" fontId="0" fillId="20" borderId="8" xfId="0" applyFont="1" applyFill="1" applyBorder="1" applyAlignment="1">
      <alignment horizontal="center" vertical="center"/>
    </xf>
    <xf numFmtId="0" fontId="0" fillId="22" borderId="9" xfId="0" applyFont="1" applyFill="1" applyBorder="1" applyAlignment="1">
      <alignment horizontal="center" vertical="center" wrapText="1"/>
    </xf>
    <xf numFmtId="0" fontId="0" fillId="22" borderId="6" xfId="0" applyFont="1" applyFill="1" applyBorder="1" applyAlignment="1">
      <alignment horizontal="center" vertical="center" wrapText="1"/>
    </xf>
    <xf numFmtId="0" fontId="0" fillId="22" borderId="9" xfId="0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top"/>
    </xf>
    <xf numFmtId="0" fontId="2" fillId="0" borderId="15" xfId="0" applyNumberFormat="1" applyFont="1" applyFill="1" applyBorder="1" applyAlignment="1">
      <alignment horizontal="center" vertical="top"/>
    </xf>
    <xf numFmtId="0" fontId="2" fillId="0" borderId="11" xfId="0" applyNumberFormat="1" applyFont="1" applyFill="1" applyBorder="1" applyAlignment="1">
      <alignment horizontal="center" vertical="top"/>
    </xf>
    <xf numFmtId="0" fontId="28" fillId="20" borderId="0" xfId="0" applyFont="1" applyFill="1" applyAlignment="1">
      <alignment horizontal="center"/>
    </xf>
    <xf numFmtId="0" fontId="2" fillId="20" borderId="0" xfId="0" applyFont="1" applyFill="1"/>
    <xf numFmtId="0" fontId="15" fillId="0" borderId="9" xfId="0" applyFont="1" applyBorder="1"/>
    <xf numFmtId="0" fontId="27" fillId="20" borderId="0" xfId="0" applyFont="1" applyFill="1"/>
    <xf numFmtId="0" fontId="28" fillId="20" borderId="0" xfId="0" applyFont="1" applyFill="1"/>
    <xf numFmtId="2" fontId="0" fillId="0" borderId="0" xfId="0" applyNumberFormat="1"/>
    <xf numFmtId="0" fontId="3" fillId="9" borderId="0" xfId="0" applyFont="1" applyFill="1" applyBorder="1" applyAlignment="1">
      <alignment horizontal="center" vertical="center"/>
    </xf>
    <xf numFmtId="0" fontId="26" fillId="21" borderId="1" xfId="0" applyFont="1" applyFill="1" applyBorder="1" applyAlignment="1">
      <alignment horizontal="center" vertical="center"/>
    </xf>
    <xf numFmtId="0" fontId="26" fillId="21" borderId="2" xfId="0" applyFont="1" applyFill="1" applyBorder="1" applyAlignment="1">
      <alignment horizontal="center" vertical="center"/>
    </xf>
    <xf numFmtId="0" fontId="26" fillId="21" borderId="3" xfId="0" applyFont="1" applyFill="1" applyBorder="1" applyAlignment="1">
      <alignment horizontal="center" vertical="center"/>
    </xf>
    <xf numFmtId="0" fontId="26" fillId="20" borderId="4" xfId="0" applyFont="1" applyFill="1" applyBorder="1" applyAlignment="1">
      <alignment horizontal="center" vertical="center"/>
    </xf>
    <xf numFmtId="0" fontId="26" fillId="20" borderId="5" xfId="0" applyFont="1" applyFill="1" applyBorder="1" applyAlignment="1">
      <alignment horizontal="center" vertical="center"/>
    </xf>
    <xf numFmtId="0" fontId="26" fillId="20" borderId="6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5" fillId="18" borderId="0" xfId="0" applyFont="1" applyFill="1" applyBorder="1" applyAlignment="1">
      <alignment horizontal="center"/>
    </xf>
    <xf numFmtId="0" fontId="25" fillId="18" borderId="38" xfId="0" applyFont="1" applyFill="1" applyBorder="1" applyAlignment="1">
      <alignment horizontal="center"/>
    </xf>
    <xf numFmtId="0" fontId="26" fillId="22" borderId="5" xfId="0" applyFont="1" applyFill="1" applyBorder="1" applyAlignment="1">
      <alignment horizontal="center" vertical="center"/>
    </xf>
    <xf numFmtId="0" fontId="26" fillId="22" borderId="6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16" fillId="8" borderId="4" xfId="0" applyNumberFormat="1" applyFont="1" applyFill="1" applyBorder="1" applyAlignment="1">
      <alignment horizontal="center" vertical="center"/>
    </xf>
    <xf numFmtId="0" fontId="16" fillId="8" borderId="5" xfId="0" applyNumberFormat="1" applyFont="1" applyFill="1" applyBorder="1" applyAlignment="1">
      <alignment horizontal="center" vertical="center"/>
    </xf>
    <xf numFmtId="0" fontId="16" fillId="8" borderId="6" xfId="0" applyNumberFormat="1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21" fillId="11" borderId="37" xfId="0" applyFont="1" applyFill="1" applyBorder="1" applyAlignment="1">
      <alignment horizontal="center" vertical="center"/>
    </xf>
    <xf numFmtId="0" fontId="21" fillId="11" borderId="38" xfId="0" applyFont="1" applyFill="1" applyBorder="1" applyAlignment="1">
      <alignment horizontal="center" vertical="center"/>
    </xf>
    <xf numFmtId="0" fontId="21" fillId="11" borderId="12" xfId="0" applyFont="1" applyFill="1" applyBorder="1" applyAlignment="1">
      <alignment horizontal="center" vertical="center"/>
    </xf>
    <xf numFmtId="0" fontId="0" fillId="13" borderId="4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3" fillId="9" borderId="10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9" fillId="16" borderId="5" xfId="0" applyFont="1" applyFill="1" applyBorder="1" applyAlignment="1">
      <alignment horizontal="center"/>
    </xf>
    <xf numFmtId="0" fontId="9" fillId="16" borderId="6" xfId="0" applyFont="1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3" fillId="15" borderId="4" xfId="0" applyFont="1" applyFill="1" applyBorder="1" applyAlignment="1">
      <alignment horizontal="center" vertical="center"/>
    </xf>
    <xf numFmtId="0" fontId="3" fillId="15" borderId="5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24" fillId="17" borderId="4" xfId="0" applyFont="1" applyFill="1" applyBorder="1" applyAlignment="1">
      <alignment horizontal="center" vertical="center"/>
    </xf>
    <xf numFmtId="0" fontId="24" fillId="17" borderId="5" xfId="0" applyFont="1" applyFill="1" applyBorder="1" applyAlignment="1">
      <alignment horizontal="center" vertical="center"/>
    </xf>
    <xf numFmtId="0" fontId="24" fillId="17" borderId="6" xfId="0" applyFont="1" applyFill="1" applyBorder="1" applyAlignment="1">
      <alignment horizontal="center" vertical="center"/>
    </xf>
    <xf numFmtId="0" fontId="30" fillId="0" borderId="0" xfId="3"/>
    <xf numFmtId="0" fontId="0" fillId="9" borderId="0" xfId="0" applyFont="1" applyFill="1" applyBorder="1" applyAlignment="1">
      <alignment horizontal="center" vertical="center"/>
    </xf>
    <xf numFmtId="0" fontId="0" fillId="0" borderId="0" xfId="0" applyFont="1" applyBorder="1"/>
    <xf numFmtId="0" fontId="15" fillId="0" borderId="0" xfId="0" applyFont="1" applyBorder="1"/>
    <xf numFmtId="0" fontId="29" fillId="23" borderId="42" xfId="2" applyBorder="1"/>
    <xf numFmtId="0" fontId="29" fillId="23" borderId="19" xfId="2" applyBorder="1"/>
    <xf numFmtId="0" fontId="29" fillId="23" borderId="22" xfId="2" applyBorder="1"/>
    <xf numFmtId="0" fontId="29" fillId="23" borderId="0" xfId="2"/>
  </cellXfs>
  <cellStyles count="4">
    <cellStyle name="Bueno" xfId="2" builtinId="26"/>
    <cellStyle name="Hipervínculo" xfId="3" builtinId="8"/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7BB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PPM'S </a:t>
            </a:r>
            <a:r>
              <a:rPr lang="en-US" baseline="0"/>
              <a:t> CALIDAD vs PRODUCCION</a:t>
            </a:r>
            <a:endParaRPr lang="en-US"/>
          </a:p>
        </c:rich>
      </c:tx>
      <c:layout>
        <c:manualLayout>
          <c:xMode val="edge"/>
          <c:yMode val="edge"/>
          <c:x val="0.41189347848583052"/>
          <c:y val="1.08626203548399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345002398624274"/>
          <c:y val="7.6812209574427734E-2"/>
          <c:w val="0.80550506699030455"/>
          <c:h val="0.8291052851273355"/>
        </c:manualLayout>
      </c:layout>
      <c:lineChart>
        <c:grouping val="standard"/>
        <c:varyColors val="0"/>
        <c:ser>
          <c:idx val="0"/>
          <c:order val="0"/>
          <c:tx>
            <c:v>CALIDAD</c:v>
          </c:tx>
          <c:spPr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marker>
            <c:spPr>
              <a:solidFill>
                <a:schemeClr val="accent1"/>
              </a:solidFill>
              <a:ln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:ln>
              <a:effectLst/>
            </c:spPr>
          </c:marker>
          <c:dLbls>
            <c:dLbl>
              <c:idx val="7"/>
              <c:spPr/>
              <c:txPr>
                <a:bodyPr/>
                <a:lstStyle/>
                <a:p>
                  <a:pPr>
                    <a:defRPr lang="en-US" sz="1000" b="0">
                      <a:solidFill>
                        <a:sysClr val="windowText" lastClr="00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86C5-482D-8897-4B853B1BE4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</c:numLit>
          </c:cat>
          <c:val>
            <c:numRef>
              <c:f>PPMS!$D$4:$D$34</c:f>
              <c:numCache>
                <c:formatCode>0</c:formatCode>
                <c:ptCount val="31"/>
                <c:pt idx="0">
                  <c:v>691.90711450455819</c:v>
                </c:pt>
                <c:pt idx="1">
                  <c:v>939.50206390612982</c:v>
                </c:pt>
                <c:pt idx="2">
                  <c:v>787.69991624456588</c:v>
                </c:pt>
                <c:pt idx="3">
                  <c:v>573.34914986160538</c:v>
                </c:pt>
                <c:pt idx="4">
                  <c:v>0</c:v>
                </c:pt>
                <c:pt idx="5">
                  <c:v>471.95388910087763</c:v>
                </c:pt>
                <c:pt idx="6">
                  <c:v>764.15209683335365</c:v>
                </c:pt>
                <c:pt idx="7">
                  <c:v>830.02374498308427</c:v>
                </c:pt>
                <c:pt idx="8">
                  <c:v>722.59957978055206</c:v>
                </c:pt>
                <c:pt idx="9">
                  <c:v>608.53875964854217</c:v>
                </c:pt>
                <c:pt idx="10">
                  <c:v>287.85261945883713</c:v>
                </c:pt>
                <c:pt idx="11">
                  <c:v>0</c:v>
                </c:pt>
                <c:pt idx="12">
                  <c:v>651.08322375560113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C5-482D-8897-4B853B1BE480}"/>
            </c:ext>
          </c:extLst>
        </c:ser>
        <c:ser>
          <c:idx val="1"/>
          <c:order val="1"/>
          <c:tx>
            <c:v>PRODUCCION</c:v>
          </c:tx>
          <c:spPr>
            <a:ln w="25400" cap="flat" cmpd="sng" algn="ctr">
              <a:solidFill>
                <a:schemeClr val="accent2">
                  <a:shade val="50000"/>
                </a:schemeClr>
              </a:solidFill>
              <a:prstDash val="solid"/>
            </a:ln>
            <a:effectLst/>
          </c:spPr>
          <c:marker>
            <c:spPr>
              <a:solidFill>
                <a:schemeClr val="accent2"/>
              </a:solidFill>
              <a:ln w="25400" cap="flat" cmpd="sng" algn="ctr">
                <a:solidFill>
                  <a:schemeClr val="accent2">
                    <a:shade val="50000"/>
                  </a:schemeClr>
                </a:solidFill>
                <a:prstDash val="solid"/>
              </a:ln>
              <a:effectLst/>
            </c:spPr>
          </c:marker>
          <c:dLbls>
            <c:dLbl>
              <c:idx val="7"/>
              <c:layout>
                <c:manualLayout>
                  <c:x val="0"/>
                  <c:y val="-3.6509822004557216E-3"/>
                </c:manualLayout>
              </c:layout>
              <c:spPr>
                <a:noFill/>
              </c:spPr>
              <c:txPr>
                <a:bodyPr/>
                <a:lstStyle/>
                <a:p>
                  <a:pPr>
                    <a:defRPr lang="en-US" sz="1000" b="0">
                      <a:solidFill>
                        <a:sysClr val="windowText" lastClr="00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C5-482D-8897-4B853B1BE480}"/>
                </c:ext>
              </c:extLst>
            </c:dLbl>
            <c:dLbl>
              <c:idx val="29"/>
              <c:layout>
                <c:manualLayout>
                  <c:x val="0"/>
                  <c:y val="2.0080402102505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C5-482D-8897-4B853B1BE4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PPMS!$H$4:$H$34</c:f>
              <c:numCache>
                <c:formatCode>0</c:formatCode>
                <c:ptCount val="31"/>
                <c:pt idx="0">
                  <c:v>8042.5184893563182</c:v>
                </c:pt>
                <c:pt idx="1">
                  <c:v>7297.1975354212209</c:v>
                </c:pt>
                <c:pt idx="2">
                  <c:v>13422.629139821409</c:v>
                </c:pt>
                <c:pt idx="3">
                  <c:v>7994.7789198890514</c:v>
                </c:pt>
                <c:pt idx="4">
                  <c:v>13076.282791397041</c:v>
                </c:pt>
                <c:pt idx="5">
                  <c:v>8475.4369281619001</c:v>
                </c:pt>
                <c:pt idx="6">
                  <c:v>10078.275439517844</c:v>
                </c:pt>
                <c:pt idx="7">
                  <c:v>8399.4342987148739</c:v>
                </c:pt>
                <c:pt idx="8">
                  <c:v>13373.468071382498</c:v>
                </c:pt>
                <c:pt idx="9">
                  <c:v>20709.721588315839</c:v>
                </c:pt>
                <c:pt idx="10">
                  <c:v>15420.104693461095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C5-482D-8897-4B853B1BE480}"/>
            </c:ext>
          </c:extLst>
        </c:ser>
        <c:ser>
          <c:idx val="2"/>
          <c:order val="2"/>
          <c:tx>
            <c:v>PORCENTAJE</c:v>
          </c:tx>
          <c:dLbls>
            <c:numFmt formatCode="0%" sourceLinked="0"/>
            <c:spPr>
              <a:solidFill>
                <a:srgbClr val="92D050"/>
              </a:solidFill>
            </c:spPr>
            <c:txPr>
              <a:bodyPr rot="-5400000" vert="horz"/>
              <a:lstStyle/>
              <a:p>
                <a:pPr>
                  <a:defRPr sz="14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PPMS!$M$4:$M$34</c:f>
              <c:numCache>
                <c:formatCode>General</c:formatCode>
                <c:ptCount val="31"/>
                <c:pt idx="0">
                  <c:v>0.16885503624450429</c:v>
                </c:pt>
                <c:pt idx="1">
                  <c:v>0.26344843154180919</c:v>
                </c:pt>
                <c:pt idx="2">
                  <c:v>0.13095262319934442</c:v>
                </c:pt>
                <c:pt idx="3">
                  <c:v>0.28368593605514608</c:v>
                </c:pt>
                <c:pt idx="4">
                  <c:v>0</c:v>
                </c:pt>
                <c:pt idx="5">
                  <c:v>8.0464208994679695E-2</c:v>
                </c:pt>
                <c:pt idx="6">
                  <c:v>0.15887976441521756</c:v>
                </c:pt>
                <c:pt idx="7">
                  <c:v>0.16427154687149961</c:v>
                </c:pt>
                <c:pt idx="8">
                  <c:v>0.16545211875649143</c:v>
                </c:pt>
                <c:pt idx="9">
                  <c:v>0.1004592995625056</c:v>
                </c:pt>
                <c:pt idx="10">
                  <c:v>2.7297501939876352E-2</c:v>
                </c:pt>
                <c:pt idx="11">
                  <c:v>0</c:v>
                </c:pt>
                <c:pt idx="12">
                  <c:v>9.5317168559507504E-2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C5-482D-8897-4B853B1BE480}"/>
            </c:ext>
          </c:extLst>
        </c:ser>
        <c:ser>
          <c:idx val="3"/>
          <c:order val="3"/>
          <c:tx>
            <c:v>META</c:v>
          </c:tx>
          <c:spPr>
            <a:effectLst>
              <a:outerShdw dist="50800" sx="115000" sy="115000" algn="ctr" rotWithShape="0">
                <a:srgbClr val="8064A2">
                  <a:lumMod val="75000"/>
                  <a:alpha val="98000"/>
                </a:srgbClr>
              </a:outerShdw>
            </a:effectLst>
          </c:spPr>
          <c:marker>
            <c:symbol val="none"/>
          </c:marker>
          <c:val>
            <c:numLit>
              <c:formatCode>General</c:formatCode>
              <c:ptCount val="31"/>
              <c:pt idx="0">
                <c:v>600</c:v>
              </c:pt>
              <c:pt idx="1">
                <c:v>600</c:v>
              </c:pt>
              <c:pt idx="2">
                <c:v>600</c:v>
              </c:pt>
              <c:pt idx="3">
                <c:v>600</c:v>
              </c:pt>
              <c:pt idx="4">
                <c:v>600</c:v>
              </c:pt>
              <c:pt idx="5">
                <c:v>600</c:v>
              </c:pt>
              <c:pt idx="6">
                <c:v>600</c:v>
              </c:pt>
              <c:pt idx="7">
                <c:v>600</c:v>
              </c:pt>
              <c:pt idx="8">
                <c:v>600</c:v>
              </c:pt>
              <c:pt idx="9">
                <c:v>600</c:v>
              </c:pt>
              <c:pt idx="10">
                <c:v>600</c:v>
              </c:pt>
              <c:pt idx="11">
                <c:v>600</c:v>
              </c:pt>
              <c:pt idx="12">
                <c:v>600</c:v>
              </c:pt>
              <c:pt idx="13">
                <c:v>600</c:v>
              </c:pt>
              <c:pt idx="14">
                <c:v>600</c:v>
              </c:pt>
              <c:pt idx="15">
                <c:v>600</c:v>
              </c:pt>
              <c:pt idx="16">
                <c:v>600</c:v>
              </c:pt>
              <c:pt idx="17">
                <c:v>600</c:v>
              </c:pt>
              <c:pt idx="18">
                <c:v>600</c:v>
              </c:pt>
              <c:pt idx="19">
                <c:v>600</c:v>
              </c:pt>
              <c:pt idx="20">
                <c:v>600</c:v>
              </c:pt>
              <c:pt idx="21">
                <c:v>600</c:v>
              </c:pt>
              <c:pt idx="22">
                <c:v>600</c:v>
              </c:pt>
              <c:pt idx="23">
                <c:v>600</c:v>
              </c:pt>
              <c:pt idx="24">
                <c:v>600</c:v>
              </c:pt>
              <c:pt idx="25">
                <c:v>600</c:v>
              </c:pt>
              <c:pt idx="26">
                <c:v>600</c:v>
              </c:pt>
              <c:pt idx="27">
                <c:v>600</c:v>
              </c:pt>
              <c:pt idx="28">
                <c:v>600</c:v>
              </c:pt>
              <c:pt idx="29">
                <c:v>600</c:v>
              </c:pt>
              <c:pt idx="30">
                <c:v>600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86C5-482D-8897-4B853B1BE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72960"/>
        <c:axId val="146895232"/>
      </c:lineChart>
      <c:catAx>
        <c:axId val="14687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46895232"/>
        <c:crosses val="autoZero"/>
        <c:auto val="1"/>
        <c:lblAlgn val="ctr"/>
        <c:lblOffset val="100"/>
        <c:noMultiLvlLbl val="0"/>
      </c:catAx>
      <c:valAx>
        <c:axId val="146895232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46872960"/>
        <c:crosses val="autoZero"/>
        <c:crossBetween val="between"/>
        <c:majorUnit val="200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/>
            </a:pPr>
            <a:endParaRPr lang="en-US"/>
          </a:p>
        </c:txPr>
      </c:dTable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 algn="ctr">
              <a:defRPr lang="en-US"/>
            </a:pPr>
            <a:r>
              <a:rPr lang="en-US"/>
              <a:t>PPM's</a:t>
            </a:r>
            <a:r>
              <a:rPr lang="en-US" baseline="0"/>
              <a:t>  CALIDAD</a:t>
            </a:r>
          </a:p>
        </c:rich>
      </c:tx>
      <c:layout>
        <c:manualLayout>
          <c:xMode val="edge"/>
          <c:yMode val="edge"/>
          <c:x val="0.44209206959248082"/>
          <c:y val="3.621398989202042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312423987868638"/>
          <c:y val="5.2424597910652432E-2"/>
          <c:w val="0.77900229099205387"/>
          <c:h val="0.82165586535703461"/>
        </c:manualLayout>
      </c:layout>
      <c:lineChart>
        <c:grouping val="standard"/>
        <c:varyColors val="0"/>
        <c:ser>
          <c:idx val="0"/>
          <c:order val="0"/>
          <c:tx>
            <c:v>PPM's Calidad</c:v>
          </c:tx>
          <c:dLbls>
            <c:dLbl>
              <c:idx val="7"/>
              <c:layout>
                <c:manualLayout>
                  <c:x val="3.6818000001304771E-3"/>
                  <c:y val="-1.8106994946009789E-3"/>
                </c:manualLayout>
              </c:layout>
              <c:spPr/>
              <c:txPr>
                <a:bodyPr/>
                <a:lstStyle/>
                <a:p>
                  <a:pPr>
                    <a:defRPr lang="en-US" sz="1000"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28-4B5B-9D5D-6B5A834F53E6}"/>
                </c:ext>
              </c:extLst>
            </c:dLbl>
            <c:dLbl>
              <c:idx val="29"/>
              <c:layout>
                <c:manualLayout>
                  <c:x val="4.9298115173905506E-3"/>
                  <c:y val="-9.053497473005180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28-4B5B-9D5D-6B5A834F53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PPMS!$A$4:$A$28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PPMS!$D$4:$D$34</c:f>
              <c:numCache>
                <c:formatCode>0</c:formatCode>
                <c:ptCount val="31"/>
                <c:pt idx="0">
                  <c:v>691.90711450455819</c:v>
                </c:pt>
                <c:pt idx="1">
                  <c:v>939.50206390612982</c:v>
                </c:pt>
                <c:pt idx="2">
                  <c:v>787.69991624456588</c:v>
                </c:pt>
                <c:pt idx="3">
                  <c:v>573.34914986160538</c:v>
                </c:pt>
                <c:pt idx="4">
                  <c:v>0</c:v>
                </c:pt>
                <c:pt idx="5">
                  <c:v>471.95388910087763</c:v>
                </c:pt>
                <c:pt idx="6">
                  <c:v>764.15209683335365</c:v>
                </c:pt>
                <c:pt idx="7">
                  <c:v>830.02374498308427</c:v>
                </c:pt>
                <c:pt idx="8">
                  <c:v>722.59957978055206</c:v>
                </c:pt>
                <c:pt idx="9">
                  <c:v>608.53875964854217</c:v>
                </c:pt>
                <c:pt idx="10">
                  <c:v>287.85261945883713</c:v>
                </c:pt>
                <c:pt idx="11">
                  <c:v>0</c:v>
                </c:pt>
                <c:pt idx="12">
                  <c:v>651.08322375560113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28-4B5B-9D5D-6B5A834F53E6}"/>
            </c:ext>
          </c:extLst>
        </c:ser>
        <c:ser>
          <c:idx val="1"/>
          <c:order val="1"/>
          <c:tx>
            <c:v>Total de defectos por dia</c:v>
          </c:tx>
          <c:spPr>
            <a:ln w="9525" cap="flat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PPMS!$A$4:$A$28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PPMS!$C$4:$C$34</c:f>
              <c:numCache>
                <c:formatCode>General</c:formatCode>
                <c:ptCount val="31"/>
                <c:pt idx="0">
                  <c:v>57</c:v>
                </c:pt>
                <c:pt idx="1">
                  <c:v>94</c:v>
                </c:pt>
                <c:pt idx="2">
                  <c:v>79</c:v>
                </c:pt>
                <c:pt idx="3">
                  <c:v>29</c:v>
                </c:pt>
                <c:pt idx="4">
                  <c:v>0</c:v>
                </c:pt>
                <c:pt idx="5">
                  <c:v>47</c:v>
                </c:pt>
                <c:pt idx="6">
                  <c:v>75</c:v>
                </c:pt>
                <c:pt idx="7">
                  <c:v>79</c:v>
                </c:pt>
                <c:pt idx="8">
                  <c:v>65</c:v>
                </c:pt>
                <c:pt idx="9">
                  <c:v>57</c:v>
                </c:pt>
                <c:pt idx="10">
                  <c:v>5</c:v>
                </c:pt>
                <c:pt idx="11">
                  <c:v>0</c:v>
                </c:pt>
                <c:pt idx="12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28-4B5B-9D5D-6B5A834F53E6}"/>
            </c:ext>
          </c:extLst>
        </c:ser>
        <c:ser>
          <c:idx val="2"/>
          <c:order val="2"/>
          <c:tx>
            <c:v>META</c:v>
          </c:tx>
          <c:spPr>
            <a:ln w="50800" cmpd="sng">
              <a:solidFill>
                <a:srgbClr val="FF0000"/>
              </a:solidFill>
            </a:ln>
            <a:effectLst>
              <a:outerShdw dist="50800" sx="115000" sy="115000" algn="ctr" rotWithShape="0">
                <a:srgbClr val="FF0000"/>
              </a:outerShdw>
            </a:effectLst>
          </c:spPr>
          <c:marker>
            <c:symbol val="none"/>
          </c:marker>
          <c:cat>
            <c:numRef>
              <c:f>PPMS!$A$4:$A$28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Lit>
              <c:formatCode>General</c:formatCode>
              <c:ptCount val="31"/>
              <c:pt idx="0">
                <c:v>800</c:v>
              </c:pt>
              <c:pt idx="1">
                <c:v>800</c:v>
              </c:pt>
              <c:pt idx="2">
                <c:v>800</c:v>
              </c:pt>
              <c:pt idx="3">
                <c:v>800</c:v>
              </c:pt>
              <c:pt idx="4">
                <c:v>800</c:v>
              </c:pt>
              <c:pt idx="5">
                <c:v>800</c:v>
              </c:pt>
              <c:pt idx="6">
                <c:v>800</c:v>
              </c:pt>
              <c:pt idx="7">
                <c:v>800</c:v>
              </c:pt>
              <c:pt idx="8">
                <c:v>800</c:v>
              </c:pt>
              <c:pt idx="9">
                <c:v>800</c:v>
              </c:pt>
              <c:pt idx="10">
                <c:v>800</c:v>
              </c:pt>
              <c:pt idx="11">
                <c:v>800</c:v>
              </c:pt>
              <c:pt idx="12">
                <c:v>800</c:v>
              </c:pt>
              <c:pt idx="13">
                <c:v>800</c:v>
              </c:pt>
              <c:pt idx="14">
                <c:v>800</c:v>
              </c:pt>
              <c:pt idx="15">
                <c:v>800</c:v>
              </c:pt>
              <c:pt idx="16">
                <c:v>800</c:v>
              </c:pt>
              <c:pt idx="17">
                <c:v>800</c:v>
              </c:pt>
              <c:pt idx="18">
                <c:v>800</c:v>
              </c:pt>
              <c:pt idx="19">
                <c:v>800</c:v>
              </c:pt>
              <c:pt idx="20">
                <c:v>800</c:v>
              </c:pt>
              <c:pt idx="21">
                <c:v>800</c:v>
              </c:pt>
              <c:pt idx="22">
                <c:v>800</c:v>
              </c:pt>
              <c:pt idx="23">
                <c:v>800</c:v>
              </c:pt>
              <c:pt idx="24">
                <c:v>800</c:v>
              </c:pt>
              <c:pt idx="25">
                <c:v>800</c:v>
              </c:pt>
              <c:pt idx="26">
                <c:v>800</c:v>
              </c:pt>
              <c:pt idx="27">
                <c:v>800</c:v>
              </c:pt>
              <c:pt idx="28">
                <c:v>800</c:v>
              </c:pt>
              <c:pt idx="29">
                <c:v>800</c:v>
              </c:pt>
              <c:pt idx="30">
                <c:v>800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E28-4B5B-9D5D-6B5A834F5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734336"/>
        <c:axId val="148735872"/>
      </c:lineChart>
      <c:catAx>
        <c:axId val="14873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48735872"/>
        <c:crosses val="autoZero"/>
        <c:auto val="1"/>
        <c:lblAlgn val="ctr"/>
        <c:lblOffset val="100"/>
        <c:noMultiLvlLbl val="0"/>
      </c:catAx>
      <c:valAx>
        <c:axId val="148735872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4873433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/>
            </a:pPr>
            <a:endParaRPr lang="en-US"/>
          </a:p>
        </c:txPr>
      </c:dTable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PPM'S 1ER y 2DO TURNO</a:t>
            </a:r>
          </a:p>
        </c:rich>
      </c:tx>
      <c:layout>
        <c:manualLayout>
          <c:xMode val="edge"/>
          <c:yMode val="edge"/>
          <c:x val="0.4425694417868058"/>
          <c:y val="3.589304508888574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922818471379562"/>
          <c:y val="4.0553316958749523E-2"/>
          <c:w val="0.80550506699030455"/>
          <c:h val="0.8291052851273355"/>
        </c:manualLayout>
      </c:layout>
      <c:lineChart>
        <c:grouping val="standard"/>
        <c:varyColors val="0"/>
        <c:ser>
          <c:idx val="0"/>
          <c:order val="0"/>
          <c:tx>
            <c:v>1er Turno</c:v>
          </c:tx>
          <c:spPr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marker>
            <c:spPr>
              <a:solidFill>
                <a:schemeClr val="accent1"/>
              </a:solidFill>
              <a:ln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:ln>
              <a:effectLst/>
            </c:spPr>
          </c:marker>
          <c:dLbls>
            <c:dLbl>
              <c:idx val="7"/>
              <c:spPr/>
              <c:txPr>
                <a:bodyPr/>
                <a:lstStyle/>
                <a:p>
                  <a:pPr>
                    <a:defRPr lang="en-US" sz="1000" b="0">
                      <a:solidFill>
                        <a:sysClr val="windowText" lastClr="00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24A0-4516-91FD-57AE5944D7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Graficas!$A$102:$A$131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</c:numCache>
            </c:numRef>
          </c:cat>
          <c:val>
            <c:numRef>
              <c:f>Graficas!$B$102:$B$131</c:f>
              <c:numCache>
                <c:formatCode>General</c:formatCode>
                <c:ptCount val="30"/>
                <c:pt idx="0">
                  <c:v>863</c:v>
                </c:pt>
                <c:pt idx="1">
                  <c:v>1002</c:v>
                </c:pt>
                <c:pt idx="2">
                  <c:v>962</c:v>
                </c:pt>
                <c:pt idx="3">
                  <c:v>476</c:v>
                </c:pt>
                <c:pt idx="4">
                  <c:v>643</c:v>
                </c:pt>
                <c:pt idx="5">
                  <c:v>827</c:v>
                </c:pt>
                <c:pt idx="6">
                  <c:v>900</c:v>
                </c:pt>
                <c:pt idx="7">
                  <c:v>819</c:v>
                </c:pt>
                <c:pt idx="8">
                  <c:v>470</c:v>
                </c:pt>
                <c:pt idx="9">
                  <c:v>0</c:v>
                </c:pt>
                <c:pt idx="10">
                  <c:v>0</c:v>
                </c:pt>
                <c:pt idx="11">
                  <c:v>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0-4516-91FD-57AE5944D7B8}"/>
            </c:ext>
          </c:extLst>
        </c:ser>
        <c:ser>
          <c:idx val="1"/>
          <c:order val="1"/>
          <c:tx>
            <c:v>2do Turno</c:v>
          </c:tx>
          <c:spPr>
            <a:ln w="25400" cap="flat" cmpd="sng" algn="ctr">
              <a:solidFill>
                <a:schemeClr val="accent2">
                  <a:shade val="50000"/>
                </a:schemeClr>
              </a:solidFill>
              <a:prstDash val="solid"/>
            </a:ln>
            <a:effectLst/>
          </c:spPr>
          <c:marker>
            <c:spPr>
              <a:solidFill>
                <a:schemeClr val="accent2"/>
              </a:solidFill>
              <a:ln w="25400" cap="flat" cmpd="sng" algn="ctr">
                <a:solidFill>
                  <a:schemeClr val="accent2">
                    <a:shade val="50000"/>
                  </a:schemeClr>
                </a:solidFill>
                <a:prstDash val="solid"/>
              </a:ln>
              <a:effectLst/>
            </c:spPr>
          </c:marker>
          <c:dLbls>
            <c:dLbl>
              <c:idx val="7"/>
              <c:layout>
                <c:manualLayout>
                  <c:x val="0"/>
                  <c:y val="-3.650982200455686E-3"/>
                </c:manualLayout>
              </c:layout>
              <c:spPr>
                <a:noFill/>
              </c:spPr>
              <c:txPr>
                <a:bodyPr/>
                <a:lstStyle/>
                <a:p>
                  <a:pPr>
                    <a:defRPr lang="en-US" sz="1000" b="0">
                      <a:solidFill>
                        <a:sysClr val="windowText" lastClr="00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A0-4516-91FD-57AE5944D7B8}"/>
                </c:ext>
              </c:extLst>
            </c:dLbl>
            <c:dLbl>
              <c:idx val="29"/>
              <c:layout>
                <c:manualLayout>
                  <c:x val="0"/>
                  <c:y val="2.0080402102505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A0-4516-91FD-57AE5944D7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Graficas!$A$102:$A$131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</c:numCache>
            </c:numRef>
          </c:cat>
          <c:val>
            <c:numRef>
              <c:f>Graficas!$C$102:$C$131</c:f>
              <c:numCache>
                <c:formatCode>General</c:formatCode>
                <c:ptCount val="30"/>
                <c:pt idx="0">
                  <c:v>507</c:v>
                </c:pt>
                <c:pt idx="1">
                  <c:v>944</c:v>
                </c:pt>
                <c:pt idx="2">
                  <c:v>584</c:v>
                </c:pt>
                <c:pt idx="3">
                  <c:v>0</c:v>
                </c:pt>
                <c:pt idx="4">
                  <c:v>337</c:v>
                </c:pt>
                <c:pt idx="5">
                  <c:v>738</c:v>
                </c:pt>
                <c:pt idx="6">
                  <c:v>617</c:v>
                </c:pt>
                <c:pt idx="7">
                  <c:v>802</c:v>
                </c:pt>
                <c:pt idx="8">
                  <c:v>611</c:v>
                </c:pt>
                <c:pt idx="9">
                  <c:v>0</c:v>
                </c:pt>
                <c:pt idx="10">
                  <c:v>0</c:v>
                </c:pt>
                <c:pt idx="11">
                  <c:v>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A0-4516-91FD-57AE5944D7B8}"/>
            </c:ext>
          </c:extLst>
        </c:ser>
        <c:ser>
          <c:idx val="2"/>
          <c:order val="2"/>
          <c:tx>
            <c:v>META</c:v>
          </c:tx>
          <c:spPr>
            <a:effectLst>
              <a:outerShdw dist="50800" sx="115000" sy="115000" algn="ctr" rotWithShape="0">
                <a:srgbClr val="92D050"/>
              </a:outerShdw>
            </a:effectLst>
          </c:spPr>
          <c:marker>
            <c:symbol val="none"/>
          </c:marker>
          <c:val>
            <c:numLit>
              <c:formatCode>General</c:formatCode>
              <c:ptCount val="30"/>
              <c:pt idx="0">
                <c:v>600</c:v>
              </c:pt>
              <c:pt idx="1">
                <c:v>600</c:v>
              </c:pt>
              <c:pt idx="2">
                <c:v>600</c:v>
              </c:pt>
              <c:pt idx="3">
                <c:v>600</c:v>
              </c:pt>
              <c:pt idx="4">
                <c:v>600</c:v>
              </c:pt>
              <c:pt idx="5">
                <c:v>600</c:v>
              </c:pt>
              <c:pt idx="6">
                <c:v>600</c:v>
              </c:pt>
              <c:pt idx="7">
                <c:v>600</c:v>
              </c:pt>
              <c:pt idx="8">
                <c:v>600</c:v>
              </c:pt>
              <c:pt idx="9">
                <c:v>600</c:v>
              </c:pt>
              <c:pt idx="10">
                <c:v>600</c:v>
              </c:pt>
              <c:pt idx="11">
                <c:v>600</c:v>
              </c:pt>
              <c:pt idx="12">
                <c:v>600</c:v>
              </c:pt>
              <c:pt idx="13">
                <c:v>600</c:v>
              </c:pt>
              <c:pt idx="14">
                <c:v>600</c:v>
              </c:pt>
              <c:pt idx="15">
                <c:v>600</c:v>
              </c:pt>
              <c:pt idx="16">
                <c:v>600</c:v>
              </c:pt>
              <c:pt idx="17">
                <c:v>600</c:v>
              </c:pt>
              <c:pt idx="18">
                <c:v>600</c:v>
              </c:pt>
              <c:pt idx="19">
                <c:v>600</c:v>
              </c:pt>
              <c:pt idx="20">
                <c:v>600</c:v>
              </c:pt>
              <c:pt idx="21">
                <c:v>600</c:v>
              </c:pt>
              <c:pt idx="22">
                <c:v>600</c:v>
              </c:pt>
              <c:pt idx="23">
                <c:v>600</c:v>
              </c:pt>
              <c:pt idx="24">
                <c:v>600</c:v>
              </c:pt>
              <c:pt idx="25">
                <c:v>600</c:v>
              </c:pt>
              <c:pt idx="26">
                <c:v>600</c:v>
              </c:pt>
              <c:pt idx="27">
                <c:v>600</c:v>
              </c:pt>
              <c:pt idx="28">
                <c:v>600</c:v>
              </c:pt>
              <c:pt idx="29">
                <c:v>600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4A0-4516-91FD-57AE5944D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00256"/>
        <c:axId val="148801792"/>
      </c:lineChart>
      <c:catAx>
        <c:axId val="14880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48801792"/>
        <c:crosses val="autoZero"/>
        <c:auto val="1"/>
        <c:lblAlgn val="ctr"/>
        <c:lblOffset val="100"/>
        <c:noMultiLvlLbl val="0"/>
      </c:catAx>
      <c:valAx>
        <c:axId val="1488017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48800256"/>
        <c:crosses val="autoZero"/>
        <c:crossBetween val="between"/>
        <c:majorUnit val="200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/>
            </a:pPr>
            <a:endParaRPr lang="en-US"/>
          </a:p>
        </c:txPr>
      </c:dTable>
    </c:plotArea>
    <c:plotVisOnly val="0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Copy of Certificacion.xlsm]Graficas!PivotTable1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645262895744886"/>
          <c:y val="4.7242528847012986E-2"/>
          <c:w val="0.82511764487860328"/>
          <c:h val="0.560576273276761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Graficas!$B$1:$B$2</c:f>
              <c:strCache>
                <c:ptCount val="1"/>
                <c:pt idx="0">
                  <c:v>Sum of T. EXTRA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Graficas!$A$3:$A$25</c:f>
              <c:strCache>
                <c:ptCount val="22"/>
                <c:pt idx="0">
                  <c:v>MARIELA CORONA DELGADO</c:v>
                </c:pt>
                <c:pt idx="1">
                  <c:v>EMILY MENDOZA CIGARROA</c:v>
                </c:pt>
                <c:pt idx="2">
                  <c:v>LUIS ALBERTO GREGORIO CARRERA</c:v>
                </c:pt>
                <c:pt idx="3">
                  <c:v>LORENA RAMIREZ MONTERO</c:v>
                </c:pt>
                <c:pt idx="4">
                  <c:v>MARIA DEL CARMEN TEMIS ROSAS</c:v>
                </c:pt>
                <c:pt idx="5">
                  <c:v>ERIK MARIN MARTINEZ GONZALEZ</c:v>
                </c:pt>
                <c:pt idx="6">
                  <c:v>BERNARDO DANIEL GALLEGOS SANTANA</c:v>
                </c:pt>
                <c:pt idx="7">
                  <c:v>PERLA RAMOS ARELLANO</c:v>
                </c:pt>
                <c:pt idx="8">
                  <c:v>EUNICE ALEJANDRA GUZMAN CID</c:v>
                </c:pt>
                <c:pt idx="9">
                  <c:v>SANTIAGO SANCHEZ ZETINA</c:v>
                </c:pt>
                <c:pt idx="10">
                  <c:v>NINIVE SOLIS JIMENEZ</c:v>
                </c:pt>
                <c:pt idx="11">
                  <c:v>CELIA NICOLAS ANTONIO</c:v>
                </c:pt>
                <c:pt idx="12">
                  <c:v>DEIVID OCTAVIO JIMENEZ JUAREZ</c:v>
                </c:pt>
                <c:pt idx="13">
                  <c:v>LUIS EDUARDO PEREZ TREVINO</c:v>
                </c:pt>
                <c:pt idx="14">
                  <c:v>LIZBETH PEREIDA JORGE</c:v>
                </c:pt>
                <c:pt idx="15">
                  <c:v>JOVANNA DULCE DE LA LUZ BALCAZAR CRUZ</c:v>
                </c:pt>
                <c:pt idx="16">
                  <c:v>JOSE FERNANDO DIAZ CASTRO</c:v>
                </c:pt>
                <c:pt idx="17">
                  <c:v>ALFREDO CISNEROS UTRERA</c:v>
                </c:pt>
                <c:pt idx="18">
                  <c:v>JUAN ANTONIO GARZON MARTINEZ</c:v>
                </c:pt>
                <c:pt idx="19">
                  <c:v>ALEXIS RINCON MORALES</c:v>
                </c:pt>
                <c:pt idx="20">
                  <c:v>FELIX AGUSTIN DIONICIO</c:v>
                </c:pt>
                <c:pt idx="21">
                  <c:v>JONATAR GONZALEZ MARQUEZ</c:v>
                </c:pt>
              </c:strCache>
            </c:strRef>
          </c:cat>
          <c:val>
            <c:numRef>
              <c:f>Graficas!$B$3:$B$25</c:f>
              <c:numCache>
                <c:formatCode>General</c:formatCode>
                <c:ptCount val="22"/>
              </c:numCache>
            </c:numRef>
          </c:val>
          <c:extLst>
            <c:ext xmlns:c16="http://schemas.microsoft.com/office/drawing/2014/chart" uri="{C3380CC4-5D6E-409C-BE32-E72D297353CC}">
              <c16:uniqueId val="{00000000-7D88-4D80-84DA-D566A5602EAB}"/>
            </c:ext>
          </c:extLst>
        </c:ser>
        <c:ser>
          <c:idx val="1"/>
          <c:order val="1"/>
          <c:tx>
            <c:strRef>
              <c:f>Graficas!$C$1:$C$2</c:f>
              <c:strCache>
                <c:ptCount val="1"/>
                <c:pt idx="0">
                  <c:v>Sum of T. NORMAL 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Graficas!$A$3:$A$25</c:f>
              <c:strCache>
                <c:ptCount val="22"/>
                <c:pt idx="0">
                  <c:v>MARIELA CORONA DELGADO</c:v>
                </c:pt>
                <c:pt idx="1">
                  <c:v>EMILY MENDOZA CIGARROA</c:v>
                </c:pt>
                <c:pt idx="2">
                  <c:v>LUIS ALBERTO GREGORIO CARRERA</c:v>
                </c:pt>
                <c:pt idx="3">
                  <c:v>LORENA RAMIREZ MONTERO</c:v>
                </c:pt>
                <c:pt idx="4">
                  <c:v>MARIA DEL CARMEN TEMIS ROSAS</c:v>
                </c:pt>
                <c:pt idx="5">
                  <c:v>ERIK MARIN MARTINEZ GONZALEZ</c:v>
                </c:pt>
                <c:pt idx="6">
                  <c:v>BERNARDO DANIEL GALLEGOS SANTANA</c:v>
                </c:pt>
                <c:pt idx="7">
                  <c:v>PERLA RAMOS ARELLANO</c:v>
                </c:pt>
                <c:pt idx="8">
                  <c:v>EUNICE ALEJANDRA GUZMAN CID</c:v>
                </c:pt>
                <c:pt idx="9">
                  <c:v>SANTIAGO SANCHEZ ZETINA</c:v>
                </c:pt>
                <c:pt idx="10">
                  <c:v>NINIVE SOLIS JIMENEZ</c:v>
                </c:pt>
                <c:pt idx="11">
                  <c:v>CELIA NICOLAS ANTONIO</c:v>
                </c:pt>
                <c:pt idx="12">
                  <c:v>DEIVID OCTAVIO JIMENEZ JUAREZ</c:v>
                </c:pt>
                <c:pt idx="13">
                  <c:v>LUIS EDUARDO PEREZ TREVINO</c:v>
                </c:pt>
                <c:pt idx="14">
                  <c:v>LIZBETH PEREIDA JORGE</c:v>
                </c:pt>
                <c:pt idx="15">
                  <c:v>JOVANNA DULCE DE LA LUZ BALCAZAR CRUZ</c:v>
                </c:pt>
                <c:pt idx="16">
                  <c:v>JOSE FERNANDO DIAZ CASTRO</c:v>
                </c:pt>
                <c:pt idx="17">
                  <c:v>ALFREDO CISNEROS UTRERA</c:v>
                </c:pt>
                <c:pt idx="18">
                  <c:v>JUAN ANTONIO GARZON MARTINEZ</c:v>
                </c:pt>
                <c:pt idx="19">
                  <c:v>ALEXIS RINCON MORALES</c:v>
                </c:pt>
                <c:pt idx="20">
                  <c:v>FELIX AGUSTIN DIONICIO</c:v>
                </c:pt>
                <c:pt idx="21">
                  <c:v>JONATAR GONZALEZ MARQUEZ</c:v>
                </c:pt>
              </c:strCache>
            </c:strRef>
          </c:cat>
          <c:val>
            <c:numRef>
              <c:f>Graficas!$C$3:$C$25</c:f>
              <c:numCache>
                <c:formatCode>General</c:formatCode>
                <c:ptCount val="22"/>
                <c:pt idx="0">
                  <c:v>60</c:v>
                </c:pt>
                <c:pt idx="1">
                  <c:v>120</c:v>
                </c:pt>
                <c:pt idx="2">
                  <c:v>300</c:v>
                </c:pt>
                <c:pt idx="3">
                  <c:v>450</c:v>
                </c:pt>
                <c:pt idx="4">
                  <c:v>480</c:v>
                </c:pt>
                <c:pt idx="5">
                  <c:v>630</c:v>
                </c:pt>
                <c:pt idx="6">
                  <c:v>720</c:v>
                </c:pt>
                <c:pt idx="7">
                  <c:v>720</c:v>
                </c:pt>
                <c:pt idx="8">
                  <c:v>750</c:v>
                </c:pt>
                <c:pt idx="9">
                  <c:v>960</c:v>
                </c:pt>
                <c:pt idx="10">
                  <c:v>990</c:v>
                </c:pt>
                <c:pt idx="11">
                  <c:v>1110</c:v>
                </c:pt>
                <c:pt idx="12">
                  <c:v>1320</c:v>
                </c:pt>
                <c:pt idx="13">
                  <c:v>1590</c:v>
                </c:pt>
                <c:pt idx="14">
                  <c:v>1650</c:v>
                </c:pt>
                <c:pt idx="15">
                  <c:v>1800</c:v>
                </c:pt>
                <c:pt idx="16">
                  <c:v>2280</c:v>
                </c:pt>
                <c:pt idx="17">
                  <c:v>2820</c:v>
                </c:pt>
                <c:pt idx="18">
                  <c:v>2880</c:v>
                </c:pt>
                <c:pt idx="19">
                  <c:v>2910</c:v>
                </c:pt>
                <c:pt idx="20">
                  <c:v>2970</c:v>
                </c:pt>
                <c:pt idx="21">
                  <c:v>3120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88-4D80-84DA-D566A5602EAB}"/>
            </c:ext>
          </c:extLst>
        </c:ser>
        <c:ser>
          <c:idx val="2"/>
          <c:order val="2"/>
          <c:tx>
            <c:strRef>
              <c:f>Graficas!$D$1:$D$2</c:f>
              <c:strCache>
                <c:ptCount val="1"/>
                <c:pt idx="0">
                  <c:v>Sum of TOTAL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Graficas!$A$3:$A$25</c:f>
              <c:strCache>
                <c:ptCount val="22"/>
                <c:pt idx="0">
                  <c:v>MARIELA CORONA DELGADO</c:v>
                </c:pt>
                <c:pt idx="1">
                  <c:v>EMILY MENDOZA CIGARROA</c:v>
                </c:pt>
                <c:pt idx="2">
                  <c:v>LUIS ALBERTO GREGORIO CARRERA</c:v>
                </c:pt>
                <c:pt idx="3">
                  <c:v>LORENA RAMIREZ MONTERO</c:v>
                </c:pt>
                <c:pt idx="4">
                  <c:v>MARIA DEL CARMEN TEMIS ROSAS</c:v>
                </c:pt>
                <c:pt idx="5">
                  <c:v>ERIK MARIN MARTINEZ GONZALEZ</c:v>
                </c:pt>
                <c:pt idx="6">
                  <c:v>BERNARDO DANIEL GALLEGOS SANTANA</c:v>
                </c:pt>
                <c:pt idx="7">
                  <c:v>PERLA RAMOS ARELLANO</c:v>
                </c:pt>
                <c:pt idx="8">
                  <c:v>EUNICE ALEJANDRA GUZMAN CID</c:v>
                </c:pt>
                <c:pt idx="9">
                  <c:v>SANTIAGO SANCHEZ ZETINA</c:v>
                </c:pt>
                <c:pt idx="10">
                  <c:v>NINIVE SOLIS JIMENEZ</c:v>
                </c:pt>
                <c:pt idx="11">
                  <c:v>CELIA NICOLAS ANTONIO</c:v>
                </c:pt>
                <c:pt idx="12">
                  <c:v>DEIVID OCTAVIO JIMENEZ JUAREZ</c:v>
                </c:pt>
                <c:pt idx="13">
                  <c:v>LUIS EDUARDO PEREZ TREVINO</c:v>
                </c:pt>
                <c:pt idx="14">
                  <c:v>LIZBETH PEREIDA JORGE</c:v>
                </c:pt>
                <c:pt idx="15">
                  <c:v>JOVANNA DULCE DE LA LUZ BALCAZAR CRUZ</c:v>
                </c:pt>
                <c:pt idx="16">
                  <c:v>JOSE FERNANDO DIAZ CASTRO</c:v>
                </c:pt>
                <c:pt idx="17">
                  <c:v>ALFREDO CISNEROS UTRERA</c:v>
                </c:pt>
                <c:pt idx="18">
                  <c:v>JUAN ANTONIO GARZON MARTINEZ</c:v>
                </c:pt>
                <c:pt idx="19">
                  <c:v>ALEXIS RINCON MORALES</c:v>
                </c:pt>
                <c:pt idx="20">
                  <c:v>FELIX AGUSTIN DIONICIO</c:v>
                </c:pt>
                <c:pt idx="21">
                  <c:v>JONATAR GONZALEZ MARQUEZ</c:v>
                </c:pt>
              </c:strCache>
            </c:strRef>
          </c:cat>
          <c:val>
            <c:numRef>
              <c:f>Graficas!$D$3:$D$25</c:f>
              <c:numCache>
                <c:formatCode>General</c:formatCode>
                <c:ptCount val="22"/>
                <c:pt idx="0">
                  <c:v>60</c:v>
                </c:pt>
                <c:pt idx="1">
                  <c:v>120</c:v>
                </c:pt>
                <c:pt idx="2">
                  <c:v>300</c:v>
                </c:pt>
                <c:pt idx="3">
                  <c:v>450</c:v>
                </c:pt>
                <c:pt idx="4">
                  <c:v>480</c:v>
                </c:pt>
                <c:pt idx="5">
                  <c:v>630</c:v>
                </c:pt>
                <c:pt idx="6">
                  <c:v>720</c:v>
                </c:pt>
                <c:pt idx="7">
                  <c:v>720</c:v>
                </c:pt>
                <c:pt idx="8">
                  <c:v>750</c:v>
                </c:pt>
                <c:pt idx="9">
                  <c:v>960</c:v>
                </c:pt>
                <c:pt idx="10">
                  <c:v>990</c:v>
                </c:pt>
                <c:pt idx="11">
                  <c:v>1110</c:v>
                </c:pt>
                <c:pt idx="12">
                  <c:v>1320</c:v>
                </c:pt>
                <c:pt idx="13">
                  <c:v>1590</c:v>
                </c:pt>
                <c:pt idx="14">
                  <c:v>1650</c:v>
                </c:pt>
                <c:pt idx="15">
                  <c:v>1800</c:v>
                </c:pt>
                <c:pt idx="16">
                  <c:v>2280</c:v>
                </c:pt>
                <c:pt idx="17">
                  <c:v>2820</c:v>
                </c:pt>
                <c:pt idx="18">
                  <c:v>2880</c:v>
                </c:pt>
                <c:pt idx="19">
                  <c:v>2910</c:v>
                </c:pt>
                <c:pt idx="20">
                  <c:v>2970</c:v>
                </c:pt>
                <c:pt idx="21">
                  <c:v>3120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88-4D80-84DA-D566A5602EA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15395160"/>
        <c:axId val="615396472"/>
      </c:barChart>
      <c:catAx>
        <c:axId val="615395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96472"/>
        <c:crosses val="autoZero"/>
        <c:auto val="1"/>
        <c:lblAlgn val="ctr"/>
        <c:lblOffset val="20"/>
        <c:noMultiLvlLbl val="0"/>
      </c:catAx>
      <c:valAx>
        <c:axId val="61539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9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Copy of Certificacion.xlsm]Graficas!PivotTable2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Graficas!$B$50:$B$51</c:f>
              <c:strCache>
                <c:ptCount val="1"/>
                <c:pt idx="0">
                  <c:v>Sum of T. EXTRA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Graficas!$A$52:$A$84</c:f>
              <c:strCache>
                <c:ptCount val="32"/>
                <c:pt idx="0">
                  <c:v>AXEL MARIN GUEVARA</c:v>
                </c:pt>
                <c:pt idx="1">
                  <c:v>ELIOENAI HERNANDEZ HERNANDEZ</c:v>
                </c:pt>
                <c:pt idx="2">
                  <c:v>ADRIAN CALDERON MORENO</c:v>
                </c:pt>
                <c:pt idx="3">
                  <c:v>ELIGIO RAMOS GONZALEZ</c:v>
                </c:pt>
                <c:pt idx="4">
                  <c:v>DANA YARETH CONDE MENENDEZ</c:v>
                </c:pt>
                <c:pt idx="5">
                  <c:v>JOSE EDUARDO MARTINEZ ORTEGA</c:v>
                </c:pt>
                <c:pt idx="6">
                  <c:v>ISAI GOMEZ SUAREZ</c:v>
                </c:pt>
                <c:pt idx="7">
                  <c:v>GUADALUPE ABRIS LUNA</c:v>
                </c:pt>
                <c:pt idx="8">
                  <c:v>JOSE IGNACIO PEREZ ZAMORA</c:v>
                </c:pt>
                <c:pt idx="9">
                  <c:v>EDUARDO LUIS CELIS QUINTERO</c:v>
                </c:pt>
                <c:pt idx="10">
                  <c:v>IVETH MERARID AGUILAR BARRIENTOS</c:v>
                </c:pt>
                <c:pt idx="11">
                  <c:v>FRANCISCO CHAPOL SOTO</c:v>
                </c:pt>
                <c:pt idx="12">
                  <c:v>ALEXANDER HERNANDEZ HDEZ.</c:v>
                </c:pt>
                <c:pt idx="13">
                  <c:v>ESMERALDA MAROTO RAMON</c:v>
                </c:pt>
                <c:pt idx="14">
                  <c:v>JOSUE SALOMON PANTALEON FLORES</c:v>
                </c:pt>
                <c:pt idx="15">
                  <c:v>EFREN GARCIA AVILA</c:v>
                </c:pt>
                <c:pt idx="16">
                  <c:v>HELADIO RODRIGUEZ HEREDIA</c:v>
                </c:pt>
                <c:pt idx="17">
                  <c:v>FELIPE MENENDEZ BOLANOS</c:v>
                </c:pt>
                <c:pt idx="18">
                  <c:v>ALBINO ANTONIO PEREZ</c:v>
                </c:pt>
                <c:pt idx="19">
                  <c:v>EDUARDO RAMOS HERNANDEZ</c:v>
                </c:pt>
                <c:pt idx="20">
                  <c:v>CLARIVEL LEZAMA CALIPA</c:v>
                </c:pt>
                <c:pt idx="21">
                  <c:v>LILIA CORTES OROPEZA</c:v>
                </c:pt>
                <c:pt idx="22">
                  <c:v>CHRISTIAN HUERTA SANTOS</c:v>
                </c:pt>
                <c:pt idx="23">
                  <c:v>ALMA CONSTANTINA BORJA MARTINEZ</c:v>
                </c:pt>
                <c:pt idx="24">
                  <c:v>ISMAEL GRANDE VICENTE</c:v>
                </c:pt>
                <c:pt idx="25">
                  <c:v>BRENDA YANETH MORA CARRILLO</c:v>
                </c:pt>
                <c:pt idx="26">
                  <c:v>ANDREA IRATXE CONDE MENENDEZ</c:v>
                </c:pt>
                <c:pt idx="27">
                  <c:v>CEYDI CORREA HERNANDEZ</c:v>
                </c:pt>
                <c:pt idx="28">
                  <c:v>LUIS ADRIAN NAVA ALONSO</c:v>
                </c:pt>
                <c:pt idx="29">
                  <c:v>FELIPE VIVANCO MENDOZA</c:v>
                </c:pt>
                <c:pt idx="30">
                  <c:v>JAZMIN MENENDEZ GARCIA</c:v>
                </c:pt>
                <c:pt idx="31">
                  <c:v>CESAR AUGUSTO HERNANDEZ HERNANDEZ</c:v>
                </c:pt>
              </c:strCache>
            </c:strRef>
          </c:cat>
          <c:val>
            <c:numRef>
              <c:f>Graficas!$B$52:$B$84</c:f>
              <c:numCache>
                <c:formatCode>General</c:formatCode>
                <c:ptCount val="32"/>
                <c:pt idx="13">
                  <c:v>330</c:v>
                </c:pt>
                <c:pt idx="23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B-46A6-9671-5B06F0B2807C}"/>
            </c:ext>
          </c:extLst>
        </c:ser>
        <c:ser>
          <c:idx val="1"/>
          <c:order val="1"/>
          <c:tx>
            <c:strRef>
              <c:f>Graficas!$C$50:$C$51</c:f>
              <c:strCache>
                <c:ptCount val="1"/>
                <c:pt idx="0">
                  <c:v>Sum of T. NORMAL 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Graficas!$A$52:$A$84</c:f>
              <c:strCache>
                <c:ptCount val="32"/>
                <c:pt idx="0">
                  <c:v>AXEL MARIN GUEVARA</c:v>
                </c:pt>
                <c:pt idx="1">
                  <c:v>ELIOENAI HERNANDEZ HERNANDEZ</c:v>
                </c:pt>
                <c:pt idx="2">
                  <c:v>ADRIAN CALDERON MORENO</c:v>
                </c:pt>
                <c:pt idx="3">
                  <c:v>ELIGIO RAMOS GONZALEZ</c:v>
                </c:pt>
                <c:pt idx="4">
                  <c:v>DANA YARETH CONDE MENENDEZ</c:v>
                </c:pt>
                <c:pt idx="5">
                  <c:v>JOSE EDUARDO MARTINEZ ORTEGA</c:v>
                </c:pt>
                <c:pt idx="6">
                  <c:v>ISAI GOMEZ SUAREZ</c:v>
                </c:pt>
                <c:pt idx="7">
                  <c:v>GUADALUPE ABRIS LUNA</c:v>
                </c:pt>
                <c:pt idx="8">
                  <c:v>JOSE IGNACIO PEREZ ZAMORA</c:v>
                </c:pt>
                <c:pt idx="9">
                  <c:v>EDUARDO LUIS CELIS QUINTERO</c:v>
                </c:pt>
                <c:pt idx="10">
                  <c:v>IVETH MERARID AGUILAR BARRIENTOS</c:v>
                </c:pt>
                <c:pt idx="11">
                  <c:v>FRANCISCO CHAPOL SOTO</c:v>
                </c:pt>
                <c:pt idx="12">
                  <c:v>ALEXANDER HERNANDEZ HDEZ.</c:v>
                </c:pt>
                <c:pt idx="13">
                  <c:v>ESMERALDA MAROTO RAMON</c:v>
                </c:pt>
                <c:pt idx="14">
                  <c:v>JOSUE SALOMON PANTALEON FLORES</c:v>
                </c:pt>
                <c:pt idx="15">
                  <c:v>EFREN GARCIA AVILA</c:v>
                </c:pt>
                <c:pt idx="16">
                  <c:v>HELADIO RODRIGUEZ HEREDIA</c:v>
                </c:pt>
                <c:pt idx="17">
                  <c:v>FELIPE MENENDEZ BOLANOS</c:v>
                </c:pt>
                <c:pt idx="18">
                  <c:v>ALBINO ANTONIO PEREZ</c:v>
                </c:pt>
                <c:pt idx="19">
                  <c:v>EDUARDO RAMOS HERNANDEZ</c:v>
                </c:pt>
                <c:pt idx="20">
                  <c:v>CLARIVEL LEZAMA CALIPA</c:v>
                </c:pt>
                <c:pt idx="21">
                  <c:v>LILIA CORTES OROPEZA</c:v>
                </c:pt>
                <c:pt idx="22">
                  <c:v>CHRISTIAN HUERTA SANTOS</c:v>
                </c:pt>
                <c:pt idx="23">
                  <c:v>ALMA CONSTANTINA BORJA MARTINEZ</c:v>
                </c:pt>
                <c:pt idx="24">
                  <c:v>ISMAEL GRANDE VICENTE</c:v>
                </c:pt>
                <c:pt idx="25">
                  <c:v>BRENDA YANETH MORA CARRILLO</c:v>
                </c:pt>
                <c:pt idx="26">
                  <c:v>ANDREA IRATXE CONDE MENENDEZ</c:v>
                </c:pt>
                <c:pt idx="27">
                  <c:v>CEYDI CORREA HERNANDEZ</c:v>
                </c:pt>
                <c:pt idx="28">
                  <c:v>LUIS ADRIAN NAVA ALONSO</c:v>
                </c:pt>
                <c:pt idx="29">
                  <c:v>FELIPE VIVANCO MENDOZA</c:v>
                </c:pt>
                <c:pt idx="30">
                  <c:v>JAZMIN MENENDEZ GARCIA</c:v>
                </c:pt>
                <c:pt idx="31">
                  <c:v>CESAR AUGUSTO HERNANDEZ HERNANDEZ</c:v>
                </c:pt>
              </c:strCache>
            </c:strRef>
          </c:cat>
          <c:val>
            <c:numRef>
              <c:f>Graficas!$C$52:$C$84</c:f>
              <c:numCache>
                <c:formatCode>General</c:formatCode>
                <c:ptCount val="32"/>
                <c:pt idx="0">
                  <c:v>60</c:v>
                </c:pt>
                <c:pt idx="1">
                  <c:v>60</c:v>
                </c:pt>
                <c:pt idx="2">
                  <c:v>105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180</c:v>
                </c:pt>
                <c:pt idx="9">
                  <c:v>210</c:v>
                </c:pt>
                <c:pt idx="10">
                  <c:v>210</c:v>
                </c:pt>
                <c:pt idx="11">
                  <c:v>300</c:v>
                </c:pt>
                <c:pt idx="12">
                  <c:v>300</c:v>
                </c:pt>
                <c:pt idx="14">
                  <c:v>360</c:v>
                </c:pt>
                <c:pt idx="15">
                  <c:v>420</c:v>
                </c:pt>
                <c:pt idx="16">
                  <c:v>480</c:v>
                </c:pt>
                <c:pt idx="17">
                  <c:v>480</c:v>
                </c:pt>
                <c:pt idx="18">
                  <c:v>480</c:v>
                </c:pt>
                <c:pt idx="19">
                  <c:v>510</c:v>
                </c:pt>
                <c:pt idx="20">
                  <c:v>660</c:v>
                </c:pt>
                <c:pt idx="21">
                  <c:v>660</c:v>
                </c:pt>
                <c:pt idx="22">
                  <c:v>780</c:v>
                </c:pt>
                <c:pt idx="23">
                  <c:v>60</c:v>
                </c:pt>
                <c:pt idx="24">
                  <c:v>1020</c:v>
                </c:pt>
                <c:pt idx="25">
                  <c:v>1380</c:v>
                </c:pt>
                <c:pt idx="26">
                  <c:v>1770</c:v>
                </c:pt>
                <c:pt idx="27">
                  <c:v>2100</c:v>
                </c:pt>
                <c:pt idx="28">
                  <c:v>3600</c:v>
                </c:pt>
                <c:pt idx="29">
                  <c:v>3840</c:v>
                </c:pt>
                <c:pt idx="30">
                  <c:v>4290</c:v>
                </c:pt>
                <c:pt idx="31">
                  <c:v>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8B-46A6-9671-5B06F0B2807C}"/>
            </c:ext>
          </c:extLst>
        </c:ser>
        <c:ser>
          <c:idx val="2"/>
          <c:order val="2"/>
          <c:tx>
            <c:strRef>
              <c:f>Graficas!$D$50:$D$51</c:f>
              <c:strCache>
                <c:ptCount val="1"/>
                <c:pt idx="0">
                  <c:v>Sum of TOTAL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Graficas!$A$52:$A$84</c:f>
              <c:strCache>
                <c:ptCount val="32"/>
                <c:pt idx="0">
                  <c:v>AXEL MARIN GUEVARA</c:v>
                </c:pt>
                <c:pt idx="1">
                  <c:v>ELIOENAI HERNANDEZ HERNANDEZ</c:v>
                </c:pt>
                <c:pt idx="2">
                  <c:v>ADRIAN CALDERON MORENO</c:v>
                </c:pt>
                <c:pt idx="3">
                  <c:v>ELIGIO RAMOS GONZALEZ</c:v>
                </c:pt>
                <c:pt idx="4">
                  <c:v>DANA YARETH CONDE MENENDEZ</c:v>
                </c:pt>
                <c:pt idx="5">
                  <c:v>JOSE EDUARDO MARTINEZ ORTEGA</c:v>
                </c:pt>
                <c:pt idx="6">
                  <c:v>ISAI GOMEZ SUAREZ</c:v>
                </c:pt>
                <c:pt idx="7">
                  <c:v>GUADALUPE ABRIS LUNA</c:v>
                </c:pt>
                <c:pt idx="8">
                  <c:v>JOSE IGNACIO PEREZ ZAMORA</c:v>
                </c:pt>
                <c:pt idx="9">
                  <c:v>EDUARDO LUIS CELIS QUINTERO</c:v>
                </c:pt>
                <c:pt idx="10">
                  <c:v>IVETH MERARID AGUILAR BARRIENTOS</c:v>
                </c:pt>
                <c:pt idx="11">
                  <c:v>FRANCISCO CHAPOL SOTO</c:v>
                </c:pt>
                <c:pt idx="12">
                  <c:v>ALEXANDER HERNANDEZ HDEZ.</c:v>
                </c:pt>
                <c:pt idx="13">
                  <c:v>ESMERALDA MAROTO RAMON</c:v>
                </c:pt>
                <c:pt idx="14">
                  <c:v>JOSUE SALOMON PANTALEON FLORES</c:v>
                </c:pt>
                <c:pt idx="15">
                  <c:v>EFREN GARCIA AVILA</c:v>
                </c:pt>
                <c:pt idx="16">
                  <c:v>HELADIO RODRIGUEZ HEREDIA</c:v>
                </c:pt>
                <c:pt idx="17">
                  <c:v>FELIPE MENENDEZ BOLANOS</c:v>
                </c:pt>
                <c:pt idx="18">
                  <c:v>ALBINO ANTONIO PEREZ</c:v>
                </c:pt>
                <c:pt idx="19">
                  <c:v>EDUARDO RAMOS HERNANDEZ</c:v>
                </c:pt>
                <c:pt idx="20">
                  <c:v>CLARIVEL LEZAMA CALIPA</c:v>
                </c:pt>
                <c:pt idx="21">
                  <c:v>LILIA CORTES OROPEZA</c:v>
                </c:pt>
                <c:pt idx="22">
                  <c:v>CHRISTIAN HUERTA SANTOS</c:v>
                </c:pt>
                <c:pt idx="23">
                  <c:v>ALMA CONSTANTINA BORJA MARTINEZ</c:v>
                </c:pt>
                <c:pt idx="24">
                  <c:v>ISMAEL GRANDE VICENTE</c:v>
                </c:pt>
                <c:pt idx="25">
                  <c:v>BRENDA YANETH MORA CARRILLO</c:v>
                </c:pt>
                <c:pt idx="26">
                  <c:v>ANDREA IRATXE CONDE MENENDEZ</c:v>
                </c:pt>
                <c:pt idx="27">
                  <c:v>CEYDI CORREA HERNANDEZ</c:v>
                </c:pt>
                <c:pt idx="28">
                  <c:v>LUIS ADRIAN NAVA ALONSO</c:v>
                </c:pt>
                <c:pt idx="29">
                  <c:v>FELIPE VIVANCO MENDOZA</c:v>
                </c:pt>
                <c:pt idx="30">
                  <c:v>JAZMIN MENENDEZ GARCIA</c:v>
                </c:pt>
                <c:pt idx="31">
                  <c:v>CESAR AUGUSTO HERNANDEZ HERNANDEZ</c:v>
                </c:pt>
              </c:strCache>
            </c:strRef>
          </c:cat>
          <c:val>
            <c:numRef>
              <c:f>Graficas!$D$52:$D$84</c:f>
              <c:numCache>
                <c:formatCode>General</c:formatCode>
                <c:ptCount val="32"/>
                <c:pt idx="0">
                  <c:v>60</c:v>
                </c:pt>
                <c:pt idx="1">
                  <c:v>60</c:v>
                </c:pt>
                <c:pt idx="2">
                  <c:v>105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180</c:v>
                </c:pt>
                <c:pt idx="9">
                  <c:v>210</c:v>
                </c:pt>
                <c:pt idx="10">
                  <c:v>210</c:v>
                </c:pt>
                <c:pt idx="11">
                  <c:v>300</c:v>
                </c:pt>
                <c:pt idx="12">
                  <c:v>300</c:v>
                </c:pt>
                <c:pt idx="13">
                  <c:v>330</c:v>
                </c:pt>
                <c:pt idx="14">
                  <c:v>360</c:v>
                </c:pt>
                <c:pt idx="15">
                  <c:v>420</c:v>
                </c:pt>
                <c:pt idx="16">
                  <c:v>480</c:v>
                </c:pt>
                <c:pt idx="17">
                  <c:v>480</c:v>
                </c:pt>
                <c:pt idx="18">
                  <c:v>480</c:v>
                </c:pt>
                <c:pt idx="19">
                  <c:v>510</c:v>
                </c:pt>
                <c:pt idx="20">
                  <c:v>660</c:v>
                </c:pt>
                <c:pt idx="21">
                  <c:v>660</c:v>
                </c:pt>
                <c:pt idx="22">
                  <c:v>780</c:v>
                </c:pt>
                <c:pt idx="23">
                  <c:v>960</c:v>
                </c:pt>
                <c:pt idx="24">
                  <c:v>1020</c:v>
                </c:pt>
                <c:pt idx="25">
                  <c:v>1380</c:v>
                </c:pt>
                <c:pt idx="26">
                  <c:v>1770</c:v>
                </c:pt>
                <c:pt idx="27">
                  <c:v>2100</c:v>
                </c:pt>
                <c:pt idx="28">
                  <c:v>3600</c:v>
                </c:pt>
                <c:pt idx="29">
                  <c:v>3840</c:v>
                </c:pt>
                <c:pt idx="30">
                  <c:v>4290</c:v>
                </c:pt>
                <c:pt idx="31">
                  <c:v>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8B-46A6-9671-5B06F0B280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01507672"/>
        <c:axId val="701499800"/>
      </c:barChart>
      <c:catAx>
        <c:axId val="701507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499800"/>
        <c:crosses val="autoZero"/>
        <c:auto val="1"/>
        <c:lblAlgn val="ctr"/>
        <c:lblOffset val="100"/>
        <c:noMultiLvlLbl val="0"/>
      </c:catAx>
      <c:valAx>
        <c:axId val="70149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PPM's  MENSUALES PRODUCCION</a:t>
            </a:r>
          </a:p>
        </c:rich>
      </c:tx>
      <c:layout>
        <c:manualLayout>
          <c:xMode val="edge"/>
          <c:yMode val="edge"/>
          <c:x val="0.44209206959248082"/>
          <c:y val="3.6213989892020437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312423987868638"/>
          <c:y val="5.2424597910652432E-2"/>
          <c:w val="0.77900229099205387"/>
          <c:h val="0.82165586535703461"/>
        </c:manualLayout>
      </c:layout>
      <c:lineChart>
        <c:grouping val="standard"/>
        <c:varyColors val="0"/>
        <c:ser>
          <c:idx val="0"/>
          <c:order val="0"/>
          <c:tx>
            <c:v>PPM's Produccion</c:v>
          </c:tx>
          <c:spPr>
            <a:ln w="50800" cmpd="sng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7"/>
              <c:layout>
                <c:manualLayout>
                  <c:x val="3.6818000001304779E-3"/>
                  <c:y val="-1.810699494600978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9F-4BB5-A388-D82486A2C9B6}"/>
                </c:ext>
              </c:extLst>
            </c:dLbl>
            <c:dLbl>
              <c:idx val="29"/>
              <c:layout>
                <c:manualLayout>
                  <c:x val="4.9298115173905506E-3"/>
                  <c:y val="-9.053497473005182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9F-4BB5-A388-D82486A2C9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19F-4BB5-A388-D82486A2C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887616"/>
        <c:axId val="103889152"/>
      </c:lineChart>
      <c:catAx>
        <c:axId val="103887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3889152"/>
        <c:crosses val="autoZero"/>
        <c:auto val="1"/>
        <c:lblAlgn val="ctr"/>
        <c:lblOffset val="100"/>
        <c:noMultiLvlLbl val="0"/>
      </c:catAx>
      <c:valAx>
        <c:axId val="1038891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8876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200"/>
            </a:pPr>
            <a:endParaRPr lang="en-US"/>
          </a:p>
        </c:txPr>
      </c:dTable>
    </c:plotArea>
    <c:plotVisOnly val="1"/>
    <c:dispBlanksAs val="gap"/>
    <c:showDLblsOverMax val="0"/>
  </c:chart>
  <c:spPr>
    <a:ln w="50800">
      <a:solidFill>
        <a:schemeClr val="tx1"/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PPM's  MENSUALES CALIDAD</a:t>
            </a:r>
          </a:p>
        </c:rich>
      </c:tx>
      <c:layout>
        <c:manualLayout>
          <c:xMode val="edge"/>
          <c:yMode val="edge"/>
          <c:x val="0.44209206959248082"/>
          <c:y val="3.62139898920204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312423987868638"/>
          <c:y val="5.2424597910652432E-2"/>
          <c:w val="0.77900229099205387"/>
          <c:h val="0.82165586535703461"/>
        </c:manualLayout>
      </c:layout>
      <c:lineChart>
        <c:grouping val="standard"/>
        <c:varyColors val="0"/>
        <c:ser>
          <c:idx val="0"/>
          <c:order val="0"/>
          <c:tx>
            <c:v>PPM's Calidad</c:v>
          </c:tx>
          <c:spPr>
            <a:ln w="508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1">
                  <a:lumMod val="75000"/>
                </a:schemeClr>
              </a:solidFill>
              <a:ln>
                <a:solidFill>
                  <a:srgbClr val="4F81BD">
                    <a:lumMod val="75000"/>
                  </a:srgbClr>
                </a:solidFill>
              </a:ln>
            </c:spPr>
          </c:marker>
          <c:dLbls>
            <c:dLbl>
              <c:idx val="7"/>
              <c:layout>
                <c:manualLayout>
                  <c:x val="3.6818000001304797E-3"/>
                  <c:y val="-1.810699494600978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48-441E-ADB6-67BF09C22F45}"/>
                </c:ext>
              </c:extLst>
            </c:dLbl>
            <c:dLbl>
              <c:idx val="29"/>
              <c:layout>
                <c:manualLayout>
                  <c:x val="4.9298115173905506E-3"/>
                  <c:y val="-9.053497473005187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48-441E-ADB6-67BF09C22F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Lit>
              <c:formatCode>General</c:formatCode>
              <c:ptCount val="12"/>
            </c:numLit>
          </c:val>
          <c:smooth val="0"/>
          <c:extLst>
            <c:ext xmlns:c16="http://schemas.microsoft.com/office/drawing/2014/chart" uri="{C3380CC4-5D6E-409C-BE32-E72D297353CC}">
              <c16:uniqueId val="{00000002-2C48-441E-ADB6-67BF09C22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07328"/>
        <c:axId val="103908864"/>
      </c:lineChart>
      <c:catAx>
        <c:axId val="103907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3908864"/>
        <c:crosses val="autoZero"/>
        <c:auto val="1"/>
        <c:lblAlgn val="ctr"/>
        <c:lblOffset val="100"/>
        <c:noMultiLvlLbl val="0"/>
      </c:catAx>
      <c:valAx>
        <c:axId val="1039088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3907328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200"/>
            </a:pPr>
            <a:endParaRPr lang="en-US"/>
          </a:p>
        </c:txPr>
      </c:dTable>
    </c:plotArea>
    <c:plotVisOnly val="1"/>
    <c:dispBlanksAs val="gap"/>
    <c:showDLblsOverMax val="0"/>
  </c:chart>
  <c:spPr>
    <a:ln w="50800">
      <a:solidFill>
        <a:schemeClr val="tx1"/>
      </a:solidFill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PPM's  MENSUALES CALIDAD</a:t>
            </a:r>
            <a:r>
              <a:rPr lang="en-US" baseline="0"/>
              <a:t> vs PRODUCCION</a:t>
            </a:r>
            <a:endParaRPr lang="en-US"/>
          </a:p>
        </c:rich>
      </c:tx>
      <c:layout>
        <c:manualLayout>
          <c:xMode val="edge"/>
          <c:yMode val="edge"/>
          <c:x val="0.44209206959248082"/>
          <c:y val="3.621398989202045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312423987868638"/>
          <c:y val="5.2424597910652432E-2"/>
          <c:w val="0.77900229099205387"/>
          <c:h val="0.82165586535703461"/>
        </c:manualLayout>
      </c:layout>
      <c:lineChart>
        <c:grouping val="standard"/>
        <c:varyColors val="0"/>
        <c:ser>
          <c:idx val="0"/>
          <c:order val="0"/>
          <c:tx>
            <c:v>PPM's Calidad</c:v>
          </c:tx>
          <c:spPr>
            <a:ln w="50800"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rgbClr val="4F81BD">
                    <a:lumMod val="75000"/>
                  </a:srgbClr>
                </a:solidFill>
              </a:ln>
            </c:spPr>
          </c:marker>
          <c:dLbls>
            <c:dLbl>
              <c:idx val="7"/>
              <c:layout>
                <c:manualLayout>
                  <c:x val="3.681800000130481E-3"/>
                  <c:y val="-1.810699494600978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B9-4088-95A0-3A5722631A49}"/>
                </c:ext>
              </c:extLst>
            </c:dLbl>
            <c:dLbl>
              <c:idx val="29"/>
              <c:layout>
                <c:manualLayout>
                  <c:x val="4.9298115173905506E-3"/>
                  <c:y val="-9.053497473005196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9-4088-95A0-3A5722631A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Lit>
              <c:formatCode>General</c:formatCode>
              <c:ptCount val="12"/>
            </c:numLit>
          </c:val>
          <c:smooth val="0"/>
          <c:extLst>
            <c:ext xmlns:c16="http://schemas.microsoft.com/office/drawing/2014/chart" uri="{C3380CC4-5D6E-409C-BE32-E72D297353CC}">
              <c16:uniqueId val="{00000002-D8B9-4088-95A0-3A5722631A49}"/>
            </c:ext>
          </c:extLst>
        </c:ser>
        <c:ser>
          <c:idx val="1"/>
          <c:order val="1"/>
          <c:tx>
            <c:v>PPM's Produccion</c:v>
          </c:tx>
          <c:spPr>
            <a:ln w="50800">
              <a:solidFill>
                <a:schemeClr val="accent2">
                  <a:lumMod val="75000"/>
                </a:schemeClr>
              </a:solidFill>
            </a:ln>
          </c:spPr>
          <c:marker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8B9-4088-95A0-3A5722631A49}"/>
            </c:ext>
          </c:extLst>
        </c:ser>
        <c:ser>
          <c:idx val="2"/>
          <c:order val="2"/>
          <c:tx>
            <c:v>Porcentaje</c:v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dLbls>
            <c:dLbl>
              <c:idx val="0"/>
              <c:layout>
                <c:manualLayout>
                  <c:x val="-1.8184899319057039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9-4088-95A0-3A5722631A49}"/>
                </c:ext>
              </c:extLst>
            </c:dLbl>
            <c:dLbl>
              <c:idx val="1"/>
              <c:layout>
                <c:manualLayout>
                  <c:x val="-2.000331049777189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9-4088-95A0-3A5722631A49}"/>
                </c:ext>
              </c:extLst>
            </c:dLbl>
            <c:dLbl>
              <c:idx val="2"/>
              <c:layout>
                <c:manualLayout>
                  <c:x val="-1.5457103566459959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B9-4088-95A0-3A5722631A49}"/>
                </c:ext>
              </c:extLst>
            </c:dLbl>
            <c:dLbl>
              <c:idx val="3"/>
              <c:layout>
                <c:manualLayout>
                  <c:x val="-1.5457103566459959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B9-4088-95A0-3A5722631A49}"/>
                </c:ext>
              </c:extLst>
            </c:dLbl>
            <c:dLbl>
              <c:idx val="4"/>
              <c:layout>
                <c:manualLayout>
                  <c:x val="-1.6366416546532314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B9-4088-95A0-3A5722631A49}"/>
                </c:ext>
              </c:extLst>
            </c:dLbl>
            <c:dLbl>
              <c:idx val="5"/>
              <c:layout>
                <c:manualLayout>
                  <c:x val="-1.7275586338984662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B9-4088-95A0-3A5722631A49}"/>
                </c:ext>
              </c:extLst>
            </c:dLbl>
            <c:dLbl>
              <c:idx val="6"/>
              <c:layout>
                <c:manualLayout>
                  <c:x val="-1.8184827725247075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B9-4088-95A0-3A5722631A49}"/>
                </c:ext>
              </c:extLst>
            </c:dLbl>
            <c:dLbl>
              <c:idx val="7"/>
              <c:layout>
                <c:manualLayout>
                  <c:x val="-1.8184827725247075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B9-4088-95A0-3A5722631A49}"/>
                </c:ext>
              </c:extLst>
            </c:dLbl>
            <c:dLbl>
              <c:idx val="8"/>
              <c:layout>
                <c:manualLayout>
                  <c:x val="-1.9094069111509362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B9-4088-95A0-3A5722631A49}"/>
                </c:ext>
              </c:extLst>
            </c:dLbl>
            <c:dLbl>
              <c:idx val="9"/>
              <c:layout>
                <c:manualLayout>
                  <c:x val="-1.7275586338984662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B9-4088-95A0-3A5722631A49}"/>
                </c:ext>
              </c:extLst>
            </c:dLbl>
            <c:dLbl>
              <c:idx val="10"/>
              <c:layout>
                <c:manualLayout>
                  <c:x val="-1.7275586338984662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B9-4088-95A0-3A5722631A49}"/>
                </c:ext>
              </c:extLst>
            </c:dLbl>
            <c:dLbl>
              <c:idx val="11"/>
              <c:layout>
                <c:manualLayout>
                  <c:x val="-1.9094069111509362E-2"/>
                  <c:y val="-3.6213989892019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B9-4088-95A0-3A5722631A49}"/>
                </c:ext>
              </c:extLst>
            </c:dLbl>
            <c:numFmt formatCode="0%" sourceLinked="0"/>
            <c:spPr>
              <a:solidFill>
                <a:srgbClr val="92D05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D8B9-4088-95A0-3A5722631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33056"/>
        <c:axId val="103934592"/>
      </c:lineChart>
      <c:catAx>
        <c:axId val="1039330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3934592"/>
        <c:crosses val="autoZero"/>
        <c:auto val="1"/>
        <c:lblAlgn val="ctr"/>
        <c:lblOffset val="100"/>
        <c:noMultiLvlLbl val="0"/>
      </c:catAx>
      <c:valAx>
        <c:axId val="1039345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393305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200"/>
            </a:pPr>
            <a:endParaRPr lang="en-US"/>
          </a:p>
        </c:txPr>
      </c:dTable>
    </c:plotArea>
    <c:plotVisOnly val="1"/>
    <c:dispBlanksAs val="gap"/>
    <c:showDLblsOverMax val="0"/>
  </c:chart>
  <c:spPr>
    <a:ln w="50800" cmpd="sng">
      <a:solidFill>
        <a:schemeClr val="tx1"/>
      </a:solidFill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PPM's  MENSUALES PRODUCCION</a:t>
            </a:r>
          </a:p>
        </c:rich>
      </c:tx>
      <c:layout>
        <c:manualLayout>
          <c:xMode val="edge"/>
          <c:yMode val="edge"/>
          <c:x val="0.44209206959248082"/>
          <c:y val="3.6213989892020437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312423987868638"/>
          <c:y val="5.2424597910652432E-2"/>
          <c:w val="0.77900229099205387"/>
          <c:h val="0.82165586535703461"/>
        </c:manualLayout>
      </c:layout>
      <c:lineChart>
        <c:grouping val="standard"/>
        <c:varyColors val="0"/>
        <c:ser>
          <c:idx val="0"/>
          <c:order val="0"/>
          <c:spPr>
            <a:ln w="50800" cmpd="sng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7"/>
              <c:layout>
                <c:manualLayout>
                  <c:x val="3.6818000001304779E-3"/>
                  <c:y val="-1.810699494600978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1E-47BE-A37C-0115227469AD}"/>
                </c:ext>
              </c:extLst>
            </c:dLbl>
            <c:dLbl>
              <c:idx val="29"/>
              <c:layout>
                <c:manualLayout>
                  <c:x val="4.9298115173905506E-3"/>
                  <c:y val="-9.053497473005182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1E-47BE-A37C-011522746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GRAF_MENSUAL!$A$4:$A$15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GRAF_MENSUAL!$D$4:$D$15</c:f>
              <c:numCache>
                <c:formatCode>0</c:formatCode>
                <c:ptCount val="12"/>
                <c:pt idx="0">
                  <c:v>5650.1616239490668</c:v>
                </c:pt>
                <c:pt idx="1">
                  <c:v>5511.3695011144928</c:v>
                </c:pt>
                <c:pt idx="2">
                  <c:v>5407.6708848483913</c:v>
                </c:pt>
                <c:pt idx="3">
                  <c:v>4987.2135620033314</c:v>
                </c:pt>
                <c:pt idx="4">
                  <c:v>4424.8003394189236</c:v>
                </c:pt>
                <c:pt idx="5">
                  <c:v>5019.2355642185494</c:v>
                </c:pt>
                <c:pt idx="6">
                  <c:v>5146.9397192893084</c:v>
                </c:pt>
                <c:pt idx="7">
                  <c:v>8678.6434400610378</c:v>
                </c:pt>
                <c:pt idx="8">
                  <c:v>10330.993929198899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1E-47BE-A37C-011522746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887616"/>
        <c:axId val="103889152"/>
      </c:lineChart>
      <c:catAx>
        <c:axId val="103887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3889152"/>
        <c:crosses val="autoZero"/>
        <c:auto val="1"/>
        <c:lblAlgn val="ctr"/>
        <c:lblOffset val="100"/>
        <c:noMultiLvlLbl val="0"/>
      </c:catAx>
      <c:valAx>
        <c:axId val="103889152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8876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200"/>
            </a:pPr>
            <a:endParaRPr lang="en-US"/>
          </a:p>
        </c:txPr>
      </c:dTable>
    </c:plotArea>
    <c:plotVisOnly val="1"/>
    <c:dispBlanksAs val="gap"/>
    <c:showDLblsOverMax val="0"/>
  </c:chart>
  <c:spPr>
    <a:ln w="50800">
      <a:solidFill>
        <a:schemeClr val="tx1"/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PPM's  MENSUALES CALIDAD</a:t>
            </a:r>
          </a:p>
        </c:rich>
      </c:tx>
      <c:layout>
        <c:manualLayout>
          <c:xMode val="edge"/>
          <c:yMode val="edge"/>
          <c:x val="0.44209206959248082"/>
          <c:y val="3.62139898920204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312423987868638"/>
          <c:y val="5.2424597910652432E-2"/>
          <c:w val="0.77900229099205387"/>
          <c:h val="0.82165586535703461"/>
        </c:manualLayout>
      </c:layout>
      <c:lineChart>
        <c:grouping val="standard"/>
        <c:varyColors val="0"/>
        <c:ser>
          <c:idx val="0"/>
          <c:order val="0"/>
          <c:tx>
            <c:v>PPM's Calidad</c:v>
          </c:tx>
          <c:spPr>
            <a:ln w="508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1">
                  <a:lumMod val="75000"/>
                </a:schemeClr>
              </a:solidFill>
              <a:ln>
                <a:solidFill>
                  <a:srgbClr val="4F81BD">
                    <a:lumMod val="75000"/>
                  </a:srgbClr>
                </a:solidFill>
              </a:ln>
            </c:spPr>
          </c:marker>
          <c:dLbls>
            <c:dLbl>
              <c:idx val="7"/>
              <c:layout>
                <c:manualLayout>
                  <c:x val="3.6818000001304797E-3"/>
                  <c:y val="-1.810699494600978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9F-46A2-9F84-1437171EF156}"/>
                </c:ext>
              </c:extLst>
            </c:dLbl>
            <c:dLbl>
              <c:idx val="29"/>
              <c:layout>
                <c:manualLayout>
                  <c:x val="4.9298115173905506E-3"/>
                  <c:y val="-9.053497473005187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F-46A2-9F84-1437171EF15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Ref>
              <c:f>GRAF_MENSUAL!$G$4:$G$15</c:f>
              <c:numCache>
                <c:formatCode>0</c:formatCode>
                <c:ptCount val="12"/>
                <c:pt idx="0">
                  <c:v>883</c:v>
                </c:pt>
                <c:pt idx="1">
                  <c:v>842</c:v>
                </c:pt>
                <c:pt idx="2">
                  <c:v>649</c:v>
                </c:pt>
                <c:pt idx="3">
                  <c:v>756</c:v>
                </c:pt>
                <c:pt idx="4">
                  <c:v>900</c:v>
                </c:pt>
                <c:pt idx="5">
                  <c:v>627</c:v>
                </c:pt>
                <c:pt idx="6">
                  <c:v>673</c:v>
                </c:pt>
                <c:pt idx="7">
                  <c:v>928</c:v>
                </c:pt>
                <c:pt idx="8">
                  <c:v>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9F-46A2-9F84-1437171EF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07328"/>
        <c:axId val="103908864"/>
      </c:lineChart>
      <c:catAx>
        <c:axId val="103907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3908864"/>
        <c:crosses val="autoZero"/>
        <c:auto val="1"/>
        <c:lblAlgn val="ctr"/>
        <c:lblOffset val="100"/>
        <c:noMultiLvlLbl val="0"/>
      </c:catAx>
      <c:valAx>
        <c:axId val="103908864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103907328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200"/>
            </a:pPr>
            <a:endParaRPr lang="en-US"/>
          </a:p>
        </c:txPr>
      </c:dTable>
    </c:plotArea>
    <c:plotVisOnly val="1"/>
    <c:dispBlanksAs val="gap"/>
    <c:showDLblsOverMax val="0"/>
  </c:chart>
  <c:spPr>
    <a:ln w="50800">
      <a:solidFill>
        <a:schemeClr val="tx1"/>
      </a:solidFill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PPM's  MENSUALES INSPECCION PROCESO VS CERTIFICACION</a:t>
            </a:r>
          </a:p>
        </c:rich>
      </c:tx>
      <c:layout>
        <c:manualLayout>
          <c:xMode val="edge"/>
          <c:yMode val="edge"/>
          <c:x val="0.44209206959248082"/>
          <c:y val="3.6213989892020459E-3"/>
        </c:manualLayout>
      </c:layout>
      <c:overlay val="0"/>
      <c:spPr>
        <a:solidFill>
          <a:srgbClr val="FFFF00"/>
        </a:solidFill>
      </c:spPr>
    </c:title>
    <c:autoTitleDeleted val="0"/>
    <c:plotArea>
      <c:layout>
        <c:manualLayout>
          <c:layoutTarget val="inner"/>
          <c:xMode val="edge"/>
          <c:yMode val="edge"/>
          <c:x val="0.22312423987868638"/>
          <c:y val="5.2424597910652432E-2"/>
          <c:w val="0.77900229099205387"/>
          <c:h val="0.82165586535703461"/>
        </c:manualLayout>
      </c:layout>
      <c:barChart>
        <c:barDir val="col"/>
        <c:grouping val="clustered"/>
        <c:varyColors val="0"/>
        <c:ser>
          <c:idx val="0"/>
          <c:order val="0"/>
          <c:tx>
            <c:v>PPM's Calidad</c:v>
          </c:tx>
          <c:spPr>
            <a:ln w="50800">
              <a:solidFill>
                <a:srgbClr val="FF0000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5080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90ED-4775-9642-944ED893B0C3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50800">
                <a:solidFill>
                  <a:srgbClr val="00B05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90ED-4775-9642-944ED893B0C3}"/>
              </c:ext>
            </c:extLst>
          </c:dPt>
          <c:dLbls>
            <c:dLbl>
              <c:idx val="7"/>
              <c:layout>
                <c:manualLayout>
                  <c:x val="3.681800000130481E-3"/>
                  <c:y val="-1.810699494600978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AB-499D-A36D-3B2E83942A85}"/>
                </c:ext>
              </c:extLst>
            </c:dLbl>
            <c:dLbl>
              <c:idx val="29"/>
              <c:layout>
                <c:manualLayout>
                  <c:x val="4.9298115173905506E-3"/>
                  <c:y val="-9.053497473005196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AB-499D-A36D-3B2E83942A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Ref>
              <c:f>GRAF_MENSUAL!$G$4:$G$15</c:f>
              <c:numCache>
                <c:formatCode>0</c:formatCode>
                <c:ptCount val="12"/>
                <c:pt idx="0">
                  <c:v>883</c:v>
                </c:pt>
                <c:pt idx="1">
                  <c:v>842</c:v>
                </c:pt>
                <c:pt idx="2">
                  <c:v>649</c:v>
                </c:pt>
                <c:pt idx="3">
                  <c:v>756</c:v>
                </c:pt>
                <c:pt idx="4">
                  <c:v>900</c:v>
                </c:pt>
                <c:pt idx="5">
                  <c:v>627</c:v>
                </c:pt>
                <c:pt idx="6">
                  <c:v>673</c:v>
                </c:pt>
                <c:pt idx="7">
                  <c:v>928</c:v>
                </c:pt>
                <c:pt idx="8">
                  <c:v>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AB-499D-A36D-3B2E83942A85}"/>
            </c:ext>
          </c:extLst>
        </c:ser>
        <c:ser>
          <c:idx val="1"/>
          <c:order val="1"/>
          <c:tx>
            <c:v>PPM's Produccion</c:v>
          </c:tx>
          <c:spPr>
            <a:ln w="50800">
              <a:solidFill>
                <a:schemeClr val="accent2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Ref>
              <c:f>GRAF_MENSUAL!$D$4:$D$15</c:f>
              <c:numCache>
                <c:formatCode>0</c:formatCode>
                <c:ptCount val="12"/>
                <c:pt idx="0">
                  <c:v>5650.1616239490668</c:v>
                </c:pt>
                <c:pt idx="1">
                  <c:v>5511.3695011144928</c:v>
                </c:pt>
                <c:pt idx="2">
                  <c:v>5407.6708848483913</c:v>
                </c:pt>
                <c:pt idx="3">
                  <c:v>4987.2135620033314</c:v>
                </c:pt>
                <c:pt idx="4">
                  <c:v>4424.8003394189236</c:v>
                </c:pt>
                <c:pt idx="5">
                  <c:v>5019.2355642185494</c:v>
                </c:pt>
                <c:pt idx="6">
                  <c:v>5146.9397192893084</c:v>
                </c:pt>
                <c:pt idx="7">
                  <c:v>8678.6434400610378</c:v>
                </c:pt>
                <c:pt idx="8">
                  <c:v>10330.993929198899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AB-499D-A36D-3B2E83942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933056"/>
        <c:axId val="103934592"/>
      </c:barChart>
      <c:lineChart>
        <c:grouping val="standard"/>
        <c:varyColors val="0"/>
        <c:ser>
          <c:idx val="2"/>
          <c:order val="2"/>
          <c:tx>
            <c:v>Porcentaje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8184899319057039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AB-499D-A36D-3B2E83942A85}"/>
                </c:ext>
              </c:extLst>
            </c:dLbl>
            <c:dLbl>
              <c:idx val="1"/>
              <c:layout>
                <c:manualLayout>
                  <c:x val="-2.000331049777189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EAB-499D-A36D-3B2E83942A85}"/>
                </c:ext>
              </c:extLst>
            </c:dLbl>
            <c:dLbl>
              <c:idx val="2"/>
              <c:layout>
                <c:manualLayout>
                  <c:x val="-1.5457103566459959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AB-499D-A36D-3B2E83942A85}"/>
                </c:ext>
              </c:extLst>
            </c:dLbl>
            <c:dLbl>
              <c:idx val="3"/>
              <c:layout>
                <c:manualLayout>
                  <c:x val="-1.5457103566459959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AB-499D-A36D-3B2E83942A85}"/>
                </c:ext>
              </c:extLst>
            </c:dLbl>
            <c:dLbl>
              <c:idx val="4"/>
              <c:layout>
                <c:manualLayout>
                  <c:x val="-1.6366416546532314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AB-499D-A36D-3B2E83942A85}"/>
                </c:ext>
              </c:extLst>
            </c:dLbl>
            <c:dLbl>
              <c:idx val="5"/>
              <c:layout>
                <c:manualLayout>
                  <c:x val="-1.7275586338984662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EAB-499D-A36D-3B2E83942A85}"/>
                </c:ext>
              </c:extLst>
            </c:dLbl>
            <c:dLbl>
              <c:idx val="6"/>
              <c:layout>
                <c:manualLayout>
                  <c:x val="-1.8184827725247075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AB-499D-A36D-3B2E83942A85}"/>
                </c:ext>
              </c:extLst>
            </c:dLbl>
            <c:dLbl>
              <c:idx val="7"/>
              <c:layout>
                <c:manualLayout>
                  <c:x val="-1.8184827725247075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AB-499D-A36D-3B2E83942A85}"/>
                </c:ext>
              </c:extLst>
            </c:dLbl>
            <c:dLbl>
              <c:idx val="8"/>
              <c:layout>
                <c:manualLayout>
                  <c:x val="-1.9094069111509362E-2"/>
                  <c:y val="-7.24279797840391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AB-499D-A36D-3B2E83942A85}"/>
                </c:ext>
              </c:extLst>
            </c:dLbl>
            <c:dLbl>
              <c:idx val="9"/>
              <c:layout>
                <c:manualLayout>
                  <c:x val="-1.7275586338984662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EAB-499D-A36D-3B2E83942A85}"/>
                </c:ext>
              </c:extLst>
            </c:dLbl>
            <c:dLbl>
              <c:idx val="10"/>
              <c:layout>
                <c:manualLayout>
                  <c:x val="-1.7275586338984662E-2"/>
                  <c:y val="-5.432098483802981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EAB-499D-A36D-3B2E83942A85}"/>
                </c:ext>
              </c:extLst>
            </c:dLbl>
            <c:dLbl>
              <c:idx val="11"/>
              <c:layout>
                <c:manualLayout>
                  <c:x val="-1.9094069111509362E-2"/>
                  <c:y val="-3.6213989892019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EAB-499D-A36D-3B2E83942A85}"/>
                </c:ext>
              </c:extLst>
            </c:dLbl>
            <c:numFmt formatCode="0%" sourceLinked="0"/>
            <c:spPr>
              <a:solidFill>
                <a:srgbClr val="92D05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  <c:pt idx="8">
                <c:v>Septiembre</c:v>
              </c:pt>
              <c:pt idx="9">
                <c:v>Octubre</c:v>
              </c:pt>
              <c:pt idx="10">
                <c:v>Noviembre</c:v>
              </c:pt>
              <c:pt idx="11">
                <c:v>Diciembre</c:v>
              </c:pt>
            </c:strLit>
          </c:cat>
          <c:val>
            <c:numRef>
              <c:f>GRAF_MENSUAL!$H$4:$H$15</c:f>
              <c:numCache>
                <c:formatCode>0.00</c:formatCode>
                <c:ptCount val="12"/>
                <c:pt idx="0">
                  <c:v>0.13515661341717389</c:v>
                </c:pt>
                <c:pt idx="1">
                  <c:v>0.13252810179736885</c:v>
                </c:pt>
                <c:pt idx="2">
                  <c:v>0.10715457589474842</c:v>
                </c:pt>
                <c:pt idx="3">
                  <c:v>0.13163362146266666</c:v>
                </c:pt>
                <c:pt idx="4">
                  <c:v>0.16902042191843267</c:v>
                </c:pt>
                <c:pt idx="5">
                  <c:v>0.11104743910676318</c:v>
                </c:pt>
                <c:pt idx="6">
                  <c:v>0.11563693654239124</c:v>
                </c:pt>
                <c:pt idx="7">
                  <c:v>9.6599817177570171E-2</c:v>
                </c:pt>
                <c:pt idx="8">
                  <c:v>7.0618966239087616E-2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EAB-499D-A36D-3B2E83942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94064"/>
        <c:axId val="310291152"/>
      </c:lineChart>
      <c:catAx>
        <c:axId val="1039330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3934592"/>
        <c:crossesAt val="800"/>
        <c:auto val="1"/>
        <c:lblAlgn val="ctr"/>
        <c:lblOffset val="100"/>
        <c:noMultiLvlLbl val="0"/>
      </c:catAx>
      <c:valAx>
        <c:axId val="103934592"/>
        <c:scaling>
          <c:orientation val="minMax"/>
          <c:min val="0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103933056"/>
        <c:crosses val="autoZero"/>
        <c:crossBetween val="between"/>
        <c:majorUnit val="3000"/>
      </c:valAx>
      <c:valAx>
        <c:axId val="31029115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310294064"/>
        <c:crosses val="max"/>
        <c:crossBetween val="between"/>
      </c:valAx>
      <c:catAx>
        <c:axId val="310294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029115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200"/>
            </a:pPr>
            <a:endParaRPr lang="en-US"/>
          </a:p>
        </c:txPr>
      </c:dTable>
    </c:plotArea>
    <c:plotVisOnly val="1"/>
    <c:dispBlanksAs val="gap"/>
    <c:showDLblsOverMax val="0"/>
  </c:chart>
  <c:spPr>
    <a:ln w="50800" cmpd="sng">
      <a:solidFill>
        <a:schemeClr val="tx1"/>
      </a:solidFill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2400"/>
              <a:t>DEFECTOS DEL DIA/MES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DEFECTOS!#REF!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DEFECTOS!#REF!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DEFECTOS!#REF!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A92-4690-909C-3034D21279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09516672"/>
        <c:axId val="109544192"/>
      </c:barChart>
      <c:catAx>
        <c:axId val="10951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2700000"/>
          <a:lstStyle/>
          <a:p>
            <a:pPr>
              <a:defRPr lang="en-US"/>
            </a:pPr>
            <a:endParaRPr lang="en-US"/>
          </a:p>
        </c:txPr>
        <c:crossAx val="109544192"/>
        <c:crosses val="autoZero"/>
        <c:auto val="1"/>
        <c:lblAlgn val="ctr"/>
        <c:lblOffset val="100"/>
        <c:noMultiLvlLbl val="0"/>
      </c:catAx>
      <c:valAx>
        <c:axId val="1095441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1095166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lang="en-US" sz="18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2400"/>
              <a:t>DEFECTOS DEL DIA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494641294840994"/>
          <c:y val="0.11094183594952405"/>
          <c:w val="0.73511264216972882"/>
          <c:h val="0.78094003804905165"/>
        </c:manualLayout>
      </c:layout>
      <c:barChart>
        <c:barDir val="bar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DEFECTOS!#REF!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DEFECTOS!#REF!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DEFECTOS!#REF!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4D5-46A3-9FE0-5B9570D4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69152"/>
        <c:axId val="109570688"/>
      </c:barChart>
      <c:catAx>
        <c:axId val="1095691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1400" b="1"/>
            </a:pPr>
            <a:endParaRPr lang="en-US"/>
          </a:p>
        </c:txPr>
        <c:crossAx val="109570688"/>
        <c:crosses val="autoZero"/>
        <c:auto val="1"/>
        <c:lblAlgn val="ctr"/>
        <c:lblOffset val="100"/>
        <c:noMultiLvlLbl val="0"/>
      </c:catAx>
      <c:valAx>
        <c:axId val="1095706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095691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lang="en-US" sz="18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 lang="en-US">
                <a:solidFill>
                  <a:srgbClr val="FF0000"/>
                </a:solidFill>
              </a:defRPr>
            </a:pPr>
            <a:r>
              <a:rPr lang="en-US" sz="2400">
                <a:solidFill>
                  <a:srgbClr val="FF0000"/>
                </a:solidFill>
              </a:rPr>
              <a:t>DEFECTOS DEL DIA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1111111111111252E-2"/>
          <c:y val="0.21511292810453198"/>
          <c:w val="0.95111111111111113"/>
          <c:h val="0.537578569092899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Defectos!$E$39</c:f>
              <c:strCache>
                <c:ptCount val="1"/>
                <c:pt idx="0">
                  <c:v>51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Defectos!$D$4:$D$8</c:f>
              <c:strCache>
                <c:ptCount val="5"/>
                <c:pt idx="0">
                  <c:v>SOBRANTES</c:v>
                </c:pt>
                <c:pt idx="1">
                  <c:v>RASGUNO</c:v>
                </c:pt>
                <c:pt idx="2">
                  <c:v>MEZCLADAS</c:v>
                </c:pt>
                <c:pt idx="3">
                  <c:v>MAL CORTE</c:v>
                </c:pt>
                <c:pt idx="4">
                  <c:v>GARRAPATAS</c:v>
                </c:pt>
              </c:strCache>
            </c:strRef>
          </c:cat>
          <c:val>
            <c:numRef>
              <c:f>Defectos!$E$4:$E$8</c:f>
              <c:numCache>
                <c:formatCode>0</c:formatCode>
                <c:ptCount val="5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4-489C-B39E-C069854F95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09591936"/>
        <c:axId val="109597824"/>
      </c:barChart>
      <c:catAx>
        <c:axId val="10959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2700000"/>
          <a:lstStyle/>
          <a:p>
            <a:pPr>
              <a:defRPr lang="en-US" sz="1000"/>
            </a:pPr>
            <a:endParaRPr lang="en-US"/>
          </a:p>
        </c:txPr>
        <c:crossAx val="109597824"/>
        <c:crosses val="autoZero"/>
        <c:auto val="1"/>
        <c:lblAlgn val="ctr"/>
        <c:lblOffset val="100"/>
        <c:noMultiLvlLbl val="0"/>
      </c:catAx>
      <c:valAx>
        <c:axId val="109597824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one"/>
        <c:crossAx val="1095919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43501570509672238"/>
          <c:y val="0.11335933962444249"/>
          <c:w val="0.1674735921167749"/>
          <c:h val="8.0424827333184068E-2"/>
        </c:manualLayout>
      </c:layout>
      <c:overlay val="0"/>
      <c:txPr>
        <a:bodyPr/>
        <a:lstStyle/>
        <a:p>
          <a:pPr>
            <a:defRPr lang="en-US" sz="1800">
              <a:solidFill>
                <a:srgbClr val="FF0000"/>
              </a:solidFill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 lang="en-US">
                <a:solidFill>
                  <a:srgbClr val="FF0000"/>
                </a:solidFill>
              </a:defRPr>
            </a:pPr>
            <a:r>
              <a:rPr lang="en-US" sz="2400">
                <a:solidFill>
                  <a:srgbClr val="FF0000"/>
                </a:solidFill>
              </a:rPr>
              <a:t>DEFECTOS DEL 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476965187135774E-2"/>
          <c:y val="0.15864543187465602"/>
          <c:w val="0.93852297148359265"/>
          <c:h val="0.57600454440532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Defectos!$B$72</c:f>
              <c:strCache>
                <c:ptCount val="1"/>
                <c:pt idx="0">
                  <c:v>638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Defectos!$A$4:$A$8</c:f>
              <c:strCache>
                <c:ptCount val="5"/>
                <c:pt idx="0">
                  <c:v>CICATRIZ ABIERTA</c:v>
                </c:pt>
                <c:pt idx="1">
                  <c:v>MAL CORTE</c:v>
                </c:pt>
                <c:pt idx="2">
                  <c:v>MEZCLADAS</c:v>
                </c:pt>
                <c:pt idx="3">
                  <c:v>SOBRANTES</c:v>
                </c:pt>
                <c:pt idx="4">
                  <c:v>GARRAPATAS</c:v>
                </c:pt>
              </c:strCache>
            </c:strRef>
          </c:cat>
          <c:val>
            <c:numRef>
              <c:f>Defectos!$B$4:$B$8</c:f>
              <c:numCache>
                <c:formatCode>General</c:formatCode>
                <c:ptCount val="5"/>
                <c:pt idx="0">
                  <c:v>94</c:v>
                </c:pt>
                <c:pt idx="1">
                  <c:v>72</c:v>
                </c:pt>
                <c:pt idx="2">
                  <c:v>58</c:v>
                </c:pt>
                <c:pt idx="3">
                  <c:v>38</c:v>
                </c:pt>
                <c:pt idx="4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1-4F38-BC9F-4946724993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09621632"/>
        <c:axId val="109624320"/>
      </c:barChart>
      <c:catAx>
        <c:axId val="10962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2700000"/>
          <a:lstStyle/>
          <a:p>
            <a:pPr>
              <a:defRPr lang="en-US" sz="1100"/>
            </a:pPr>
            <a:endParaRPr lang="en-US"/>
          </a:p>
        </c:txPr>
        <c:crossAx val="109624320"/>
        <c:crosses val="autoZero"/>
        <c:auto val="1"/>
        <c:lblAlgn val="ctr"/>
        <c:lblOffset val="100"/>
        <c:noMultiLvlLbl val="0"/>
      </c:catAx>
      <c:valAx>
        <c:axId val="1096243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1096216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42412239688268794"/>
          <c:y val="0.1267418695692884"/>
          <c:w val="0.20807706570503479"/>
          <c:h val="9.5121244809954986E-2"/>
        </c:manualLayout>
      </c:layout>
      <c:overlay val="0"/>
      <c:txPr>
        <a:bodyPr/>
        <a:lstStyle/>
        <a:p>
          <a:pPr>
            <a:defRPr lang="en-US" sz="1800">
              <a:solidFill>
                <a:srgbClr val="FF0000"/>
              </a:solidFill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Copy of Certificacion.xlsm]PPMSQC GRAF!TablaDinámica19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50800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</c:pivotFmts>
    <c:plotArea>
      <c:layout>
        <c:manualLayout>
          <c:layoutTarget val="inner"/>
          <c:xMode val="edge"/>
          <c:yMode val="edge"/>
          <c:x val="7.8435669804570271E-2"/>
          <c:y val="0.11888661053182671"/>
          <c:w val="0.91457089416965409"/>
          <c:h val="0.730512901134180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'PPMSQC GRAF'!$B$80</c:f>
              <c:strCache>
                <c:ptCount val="1"/>
                <c:pt idx="0">
                  <c:v>Suma de Defectos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'PPMSQC GRAF'!$A$81:$A$94</c:f>
              <c:strCache>
                <c:ptCount val="13"/>
                <c:pt idx="0">
                  <c:v>MICHEL ALEJANDRA ZAMORA LOPEZ</c:v>
                </c:pt>
                <c:pt idx="1">
                  <c:v>NANCY LOPEZ TAPIA</c:v>
                </c:pt>
                <c:pt idx="2">
                  <c:v>JHOANA ITZEL HERNANDEZ GALINDO</c:v>
                </c:pt>
                <c:pt idx="3">
                  <c:v>REYES JOAQUIN FLORES</c:v>
                </c:pt>
                <c:pt idx="4">
                  <c:v>ZAHIREL DEL CARMEN JIMENEZ DOMINGUEZ</c:v>
                </c:pt>
                <c:pt idx="5">
                  <c:v>CELIN ADOLFO ARREOLA PEREZ</c:v>
                </c:pt>
                <c:pt idx="6">
                  <c:v>NICACIO CASTILLEJOS ANTONIO</c:v>
                </c:pt>
                <c:pt idx="7">
                  <c:v>TITO JONAN JIMENEZ HERNANDEZ</c:v>
                </c:pt>
                <c:pt idx="8">
                  <c:v>CLAUDIA OLIVERA MONTOR</c:v>
                </c:pt>
                <c:pt idx="9">
                  <c:v>MARIBEL JOSE PEREZ</c:v>
                </c:pt>
                <c:pt idx="10">
                  <c:v>ROBERTO CARLOS MARTINEZ GONZALEZ</c:v>
                </c:pt>
                <c:pt idx="11">
                  <c:v>YASSURI DIANELA ALVAREZ CANO</c:v>
                </c:pt>
                <c:pt idx="12">
                  <c:v>AMAYRANI JOSELYN SCHIAFFINI SOSA</c:v>
                </c:pt>
              </c:strCache>
            </c:strRef>
          </c:cat>
          <c:val>
            <c:numRef>
              <c:f>'PPMSQC GRAF'!$B$81:$B$94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B7-4EEC-9374-21724DF9D3DC}"/>
            </c:ext>
          </c:extLst>
        </c:ser>
        <c:ser>
          <c:idx val="1"/>
          <c:order val="1"/>
          <c:tx>
            <c:strRef>
              <c:f>'PPMSQC GRAF'!$C$80</c:f>
              <c:strCache>
                <c:ptCount val="1"/>
                <c:pt idx="0">
                  <c:v>Suma de PPM'S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'PPMSQC GRAF'!$A$81:$A$94</c:f>
              <c:strCache>
                <c:ptCount val="13"/>
                <c:pt idx="0">
                  <c:v>MICHEL ALEJANDRA ZAMORA LOPEZ</c:v>
                </c:pt>
                <c:pt idx="1">
                  <c:v>NANCY LOPEZ TAPIA</c:v>
                </c:pt>
                <c:pt idx="2">
                  <c:v>JHOANA ITZEL HERNANDEZ GALINDO</c:v>
                </c:pt>
                <c:pt idx="3">
                  <c:v>REYES JOAQUIN FLORES</c:v>
                </c:pt>
                <c:pt idx="4">
                  <c:v>ZAHIREL DEL CARMEN JIMENEZ DOMINGUEZ</c:v>
                </c:pt>
                <c:pt idx="5">
                  <c:v>CELIN ADOLFO ARREOLA PEREZ</c:v>
                </c:pt>
                <c:pt idx="6">
                  <c:v>NICACIO CASTILLEJOS ANTONIO</c:v>
                </c:pt>
                <c:pt idx="7">
                  <c:v>TITO JONAN JIMENEZ HERNANDEZ</c:v>
                </c:pt>
                <c:pt idx="8">
                  <c:v>CLAUDIA OLIVERA MONTOR</c:v>
                </c:pt>
                <c:pt idx="9">
                  <c:v>MARIBEL JOSE PEREZ</c:v>
                </c:pt>
                <c:pt idx="10">
                  <c:v>ROBERTO CARLOS MARTINEZ GONZALEZ</c:v>
                </c:pt>
                <c:pt idx="11">
                  <c:v>YASSURI DIANELA ALVAREZ CANO</c:v>
                </c:pt>
                <c:pt idx="12">
                  <c:v>AMAYRANI JOSELYN SCHIAFFINI SOSA</c:v>
                </c:pt>
              </c:strCache>
            </c:strRef>
          </c:cat>
          <c:val>
            <c:numRef>
              <c:f>'PPMSQC GRAF'!$C$81:$C$94</c:f>
              <c:numCache>
                <c:formatCode>General</c:formatCode>
                <c:ptCount val="13"/>
                <c:pt idx="0">
                  <c:v>1010</c:v>
                </c:pt>
                <c:pt idx="1">
                  <c:v>1190</c:v>
                </c:pt>
                <c:pt idx="2">
                  <c:v>1851</c:v>
                </c:pt>
                <c:pt idx="3">
                  <c:v>2150</c:v>
                </c:pt>
                <c:pt idx="4">
                  <c:v>2197</c:v>
                </c:pt>
                <c:pt idx="5">
                  <c:v>2222</c:v>
                </c:pt>
                <c:pt idx="6">
                  <c:v>2380</c:v>
                </c:pt>
                <c:pt idx="7">
                  <c:v>2380</c:v>
                </c:pt>
                <c:pt idx="8">
                  <c:v>2777</c:v>
                </c:pt>
                <c:pt idx="9">
                  <c:v>3508</c:v>
                </c:pt>
                <c:pt idx="10">
                  <c:v>6060</c:v>
                </c:pt>
                <c:pt idx="11">
                  <c:v>6250</c:v>
                </c:pt>
                <c:pt idx="12">
                  <c:v>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B7-4EEC-9374-21724DF9D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748323512"/>
        <c:axId val="748325808"/>
      </c:barChart>
      <c:catAx>
        <c:axId val="748323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5808"/>
        <c:crosses val="autoZero"/>
        <c:auto val="1"/>
        <c:lblAlgn val="ctr"/>
        <c:lblOffset val="100"/>
        <c:noMultiLvlLbl val="0"/>
      </c:catAx>
      <c:valAx>
        <c:axId val="7483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Copy of Certificacion.xlsm]PPMSQC GRAF!TablaDinámica15</c:name>
    <c:fmtId val="0"/>
  </c:pivotSource>
  <c:chart>
    <c:autoTitleDeleted val="0"/>
    <c:pivotFmts>
      <c:pivotFmt>
        <c:idx val="0"/>
        <c:spPr>
          <a:solidFill>
            <a:schemeClr val="accent5">
              <a:lumMod val="75000"/>
            </a:schemeClr>
          </a:solidFill>
          <a:ln w="15875">
            <a:solidFill>
              <a:schemeClr val="accent5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50800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9053299439932209E-2"/>
          <c:y val="0.11001493732425292"/>
          <c:w val="0.89784958769917544"/>
          <c:h val="0.74550957517888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'PPMSQC GRAF'!$B$2</c:f>
              <c:strCache>
                <c:ptCount val="1"/>
                <c:pt idx="0">
                  <c:v>Suma de Suma de defectos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'PPMSQC GRAF'!$A$3:$A$40</c:f>
              <c:strCache>
                <c:ptCount val="55"/>
                <c:pt idx="0">
                  <c:v>LUIS GUSTAVO MERIDA SANCHEZ</c:v>
                </c:pt>
                <c:pt idx="1">
                  <c:v>FLAVIO OJEDA OROSIO</c:v>
                </c:pt>
                <c:pt idx="2">
                  <c:v>EVARISTO FRANCISCO CARMONA</c:v>
                </c:pt>
                <c:pt idx="3">
                  <c:v>NANCY LOPEZ TAPIA</c:v>
                </c:pt>
                <c:pt idx="4">
                  <c:v>GUILLERMO SANTANA QUINTERO</c:v>
                </c:pt>
                <c:pt idx="5">
                  <c:v>ABEL DE JESUS TENCO CAPISTRAN</c:v>
                </c:pt>
                <c:pt idx="6">
                  <c:v>CELIN ADOLFO ARREOLA PEREZ</c:v>
                </c:pt>
                <c:pt idx="7">
                  <c:v>CAROLINA FRANCISCO HERNANDEZ</c:v>
                </c:pt>
                <c:pt idx="8">
                  <c:v>RAFAEL JERONIMO REYES</c:v>
                </c:pt>
                <c:pt idx="9">
                  <c:v>FELICITAS FELIX ANAYA</c:v>
                </c:pt>
                <c:pt idx="10">
                  <c:v>SANTA MARGARITA VALADEZ GARCIA</c:v>
                </c:pt>
                <c:pt idx="11">
                  <c:v>MELQUIADES CALIXTO MENDEZ</c:v>
                </c:pt>
                <c:pt idx="12">
                  <c:v>GRACIELA MORALES JIMENEZ</c:v>
                </c:pt>
                <c:pt idx="13">
                  <c:v>MICHEL ALEJANDRA ZAMORA LOPEZ</c:v>
                </c:pt>
                <c:pt idx="14">
                  <c:v>NAYELI HERNANDEZ HERNANDEZ</c:v>
                </c:pt>
                <c:pt idx="15">
                  <c:v>ANAYELI HERNANDEZ LAZARO</c:v>
                </c:pt>
                <c:pt idx="16">
                  <c:v>JORGE ALBERTO GONZALEZ PEREZ</c:v>
                </c:pt>
                <c:pt idx="17">
                  <c:v>REYES JOAQUIN FLORES</c:v>
                </c:pt>
                <c:pt idx="18">
                  <c:v>GISELA JOHANA BOLANOS RAMOS</c:v>
                </c:pt>
                <c:pt idx="19">
                  <c:v>ADOLFO ANGEL SANTIAGO RAMOS</c:v>
                </c:pt>
                <c:pt idx="20">
                  <c:v>ELIZABETH MENESES MIGUEL</c:v>
                </c:pt>
                <c:pt idx="21">
                  <c:v>JUAN ANTONIO GARZON MARTINEZ</c:v>
                </c:pt>
                <c:pt idx="22">
                  <c:v>LUIS ENRIQUE AVALOS FERNANDEZ</c:v>
                </c:pt>
                <c:pt idx="23">
                  <c:v>JUDITH MONTES VAQUERA</c:v>
                </c:pt>
                <c:pt idx="24">
                  <c:v>NICACIO CASTILLEJOS ANTONIO</c:v>
                </c:pt>
                <c:pt idx="25">
                  <c:v>PERLA ITALY MENDOZA ARENAS</c:v>
                </c:pt>
                <c:pt idx="26">
                  <c:v>TITO JONAN JIMENEZ HERNANDEZ</c:v>
                </c:pt>
                <c:pt idx="27">
                  <c:v>EMILY MENDOZA CIGARROA</c:v>
                </c:pt>
                <c:pt idx="28">
                  <c:v>ANDRES DE JESUS PEREZ DIAZ</c:v>
                </c:pt>
                <c:pt idx="29">
                  <c:v>EDER NOEL CASTILLO VARGAS</c:v>
                </c:pt>
                <c:pt idx="30">
                  <c:v>ARY LAZARO LOPEZ</c:v>
                </c:pt>
                <c:pt idx="31">
                  <c:v>YENNI PERLA PARRA CASTRO</c:v>
                </c:pt>
                <c:pt idx="32">
                  <c:v>JHOANA ITZEL HERNANDEZ GALINDO</c:v>
                </c:pt>
                <c:pt idx="33">
                  <c:v>JOSE ALEXIS ESTEBAN AVILA</c:v>
                </c:pt>
                <c:pt idx="34">
                  <c:v>IRMA NATALIA FLORES LOPEZ</c:v>
                </c:pt>
                <c:pt idx="35">
                  <c:v>GABRIEL HERNANDEZ GARCIA</c:v>
                </c:pt>
                <c:pt idx="36">
                  <c:v>JUAN CARLOS LOPEZ SANTIAGO</c:v>
                </c:pt>
                <c:pt idx="37">
                  <c:v>ZAHIREL DEL CARMEN JIMENEZ DOMINGUEZ</c:v>
                </c:pt>
                <c:pt idx="38">
                  <c:v>NORMA MARTINEZ CRUZ</c:v>
                </c:pt>
                <c:pt idx="39">
                  <c:v>DAMARIS MARILU HERNANDEZ VILLATORO</c:v>
                </c:pt>
                <c:pt idx="40">
                  <c:v>ALFREDO CISNEROS UTRERA</c:v>
                </c:pt>
                <c:pt idx="41">
                  <c:v>MARIBEL JOSE PEREZ</c:v>
                </c:pt>
                <c:pt idx="42">
                  <c:v>ALMA CONSTANTINA BORJA MARTINEZ</c:v>
                </c:pt>
                <c:pt idx="43">
                  <c:v>FERNANDO RAMIREZ OLIVARES</c:v>
                </c:pt>
                <c:pt idx="44">
                  <c:v>LORENZO FLORES VILLA</c:v>
                </c:pt>
                <c:pt idx="45">
                  <c:v>YASSURI DIANELA ALVAREZ CANO</c:v>
                </c:pt>
                <c:pt idx="46">
                  <c:v>ADRIANA LUCILA SOTO REYES</c:v>
                </c:pt>
                <c:pt idx="47">
                  <c:v>LUIS ALBERTO GREGORIO CARRERA</c:v>
                </c:pt>
                <c:pt idx="48">
                  <c:v>AZUCENA CONCEPCION ESPINOSA VICTORIANO</c:v>
                </c:pt>
                <c:pt idx="49">
                  <c:v>CLAUDIA OLIVERA MONTOR</c:v>
                </c:pt>
                <c:pt idx="50">
                  <c:v>ROBERTO CARLOS MARTINEZ GONZALEZ</c:v>
                </c:pt>
                <c:pt idx="51">
                  <c:v>NANCY JAZMIN SILVA GARCIA</c:v>
                </c:pt>
                <c:pt idx="52">
                  <c:v>ALEXIS RINCON MORALES</c:v>
                </c:pt>
                <c:pt idx="53">
                  <c:v>DIANA LIZET MENDEZ ANTONIO</c:v>
                </c:pt>
                <c:pt idx="54">
                  <c:v>AMAYRANI JOSELYN SCHIAFFINI SOSA</c:v>
                </c:pt>
              </c:strCache>
            </c:strRef>
          </c:cat>
          <c:val>
            <c:numRef>
              <c:f>'PPMSQC GRAF'!$B$3:$B$40</c:f>
              <c:numCache>
                <c:formatCode>General</c:formatCode>
                <c:ptCount val="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6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10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4</c:v>
                </c:pt>
                <c:pt idx="27">
                  <c:v>3</c:v>
                </c:pt>
                <c:pt idx="28">
                  <c:v>8</c:v>
                </c:pt>
                <c:pt idx="29">
                  <c:v>1</c:v>
                </c:pt>
                <c:pt idx="30">
                  <c:v>10</c:v>
                </c:pt>
                <c:pt idx="31">
                  <c:v>13</c:v>
                </c:pt>
                <c:pt idx="32">
                  <c:v>3</c:v>
                </c:pt>
                <c:pt idx="33">
                  <c:v>13</c:v>
                </c:pt>
                <c:pt idx="34">
                  <c:v>3</c:v>
                </c:pt>
                <c:pt idx="35">
                  <c:v>25</c:v>
                </c:pt>
                <c:pt idx="36">
                  <c:v>2</c:v>
                </c:pt>
                <c:pt idx="37">
                  <c:v>15</c:v>
                </c:pt>
                <c:pt idx="38">
                  <c:v>#N/A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3</c:v>
                </c:pt>
                <c:pt idx="46">
                  <c:v>1</c:v>
                </c:pt>
                <c:pt idx="47">
                  <c:v>1</c:v>
                </c:pt>
                <c:pt idx="48">
                  <c:v>7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D7D-988C-D505EC35CB28}"/>
            </c:ext>
          </c:extLst>
        </c:ser>
        <c:ser>
          <c:idx val="1"/>
          <c:order val="1"/>
          <c:tx>
            <c:strRef>
              <c:f>'PPMSQC GRAF'!$C$2</c:f>
              <c:strCache>
                <c:ptCount val="1"/>
                <c:pt idx="0">
                  <c:v>Suma de PPM'S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5875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'PPMSQC GRAF'!$A$3:$A$40</c:f>
              <c:strCache>
                <c:ptCount val="55"/>
                <c:pt idx="0">
                  <c:v>LUIS GUSTAVO MERIDA SANCHEZ</c:v>
                </c:pt>
                <c:pt idx="1">
                  <c:v>FLAVIO OJEDA OROSIO</c:v>
                </c:pt>
                <c:pt idx="2">
                  <c:v>EVARISTO FRANCISCO CARMONA</c:v>
                </c:pt>
                <c:pt idx="3">
                  <c:v>NANCY LOPEZ TAPIA</c:v>
                </c:pt>
                <c:pt idx="4">
                  <c:v>GUILLERMO SANTANA QUINTERO</c:v>
                </c:pt>
                <c:pt idx="5">
                  <c:v>ABEL DE JESUS TENCO CAPISTRAN</c:v>
                </c:pt>
                <c:pt idx="6">
                  <c:v>CELIN ADOLFO ARREOLA PEREZ</c:v>
                </c:pt>
                <c:pt idx="7">
                  <c:v>CAROLINA FRANCISCO HERNANDEZ</c:v>
                </c:pt>
                <c:pt idx="8">
                  <c:v>RAFAEL JERONIMO REYES</c:v>
                </c:pt>
                <c:pt idx="9">
                  <c:v>FELICITAS FELIX ANAYA</c:v>
                </c:pt>
                <c:pt idx="10">
                  <c:v>SANTA MARGARITA VALADEZ GARCIA</c:v>
                </c:pt>
                <c:pt idx="11">
                  <c:v>MELQUIADES CALIXTO MENDEZ</c:v>
                </c:pt>
                <c:pt idx="12">
                  <c:v>GRACIELA MORALES JIMENEZ</c:v>
                </c:pt>
                <c:pt idx="13">
                  <c:v>MICHEL ALEJANDRA ZAMORA LOPEZ</c:v>
                </c:pt>
                <c:pt idx="14">
                  <c:v>NAYELI HERNANDEZ HERNANDEZ</c:v>
                </c:pt>
                <c:pt idx="15">
                  <c:v>ANAYELI HERNANDEZ LAZARO</c:v>
                </c:pt>
                <c:pt idx="16">
                  <c:v>JORGE ALBERTO GONZALEZ PEREZ</c:v>
                </c:pt>
                <c:pt idx="17">
                  <c:v>REYES JOAQUIN FLORES</c:v>
                </c:pt>
                <c:pt idx="18">
                  <c:v>GISELA JOHANA BOLANOS RAMOS</c:v>
                </c:pt>
                <c:pt idx="19">
                  <c:v>ADOLFO ANGEL SANTIAGO RAMOS</c:v>
                </c:pt>
                <c:pt idx="20">
                  <c:v>ELIZABETH MENESES MIGUEL</c:v>
                </c:pt>
                <c:pt idx="21">
                  <c:v>JUAN ANTONIO GARZON MARTINEZ</c:v>
                </c:pt>
                <c:pt idx="22">
                  <c:v>LUIS ENRIQUE AVALOS FERNANDEZ</c:v>
                </c:pt>
                <c:pt idx="23">
                  <c:v>JUDITH MONTES VAQUERA</c:v>
                </c:pt>
                <c:pt idx="24">
                  <c:v>NICACIO CASTILLEJOS ANTONIO</c:v>
                </c:pt>
                <c:pt idx="25">
                  <c:v>PERLA ITALY MENDOZA ARENAS</c:v>
                </c:pt>
                <c:pt idx="26">
                  <c:v>TITO JONAN JIMENEZ HERNANDEZ</c:v>
                </c:pt>
                <c:pt idx="27">
                  <c:v>EMILY MENDOZA CIGARROA</c:v>
                </c:pt>
                <c:pt idx="28">
                  <c:v>ANDRES DE JESUS PEREZ DIAZ</c:v>
                </c:pt>
                <c:pt idx="29">
                  <c:v>EDER NOEL CASTILLO VARGAS</c:v>
                </c:pt>
                <c:pt idx="30">
                  <c:v>ARY LAZARO LOPEZ</c:v>
                </c:pt>
                <c:pt idx="31">
                  <c:v>YENNI PERLA PARRA CASTRO</c:v>
                </c:pt>
                <c:pt idx="32">
                  <c:v>JHOANA ITZEL HERNANDEZ GALINDO</c:v>
                </c:pt>
                <c:pt idx="33">
                  <c:v>JOSE ALEXIS ESTEBAN AVILA</c:v>
                </c:pt>
                <c:pt idx="34">
                  <c:v>IRMA NATALIA FLORES LOPEZ</c:v>
                </c:pt>
                <c:pt idx="35">
                  <c:v>GABRIEL HERNANDEZ GARCIA</c:v>
                </c:pt>
                <c:pt idx="36">
                  <c:v>JUAN CARLOS LOPEZ SANTIAGO</c:v>
                </c:pt>
                <c:pt idx="37">
                  <c:v>ZAHIREL DEL CARMEN JIMENEZ DOMINGUEZ</c:v>
                </c:pt>
                <c:pt idx="38">
                  <c:v>NORMA MARTINEZ CRUZ</c:v>
                </c:pt>
                <c:pt idx="39">
                  <c:v>DAMARIS MARILU HERNANDEZ VILLATORO</c:v>
                </c:pt>
                <c:pt idx="40">
                  <c:v>ALFREDO CISNEROS UTRERA</c:v>
                </c:pt>
                <c:pt idx="41">
                  <c:v>MARIBEL JOSE PEREZ</c:v>
                </c:pt>
                <c:pt idx="42">
                  <c:v>ALMA CONSTANTINA BORJA MARTINEZ</c:v>
                </c:pt>
                <c:pt idx="43">
                  <c:v>FERNANDO RAMIREZ OLIVARES</c:v>
                </c:pt>
                <c:pt idx="44">
                  <c:v>LORENZO FLORES VILLA</c:v>
                </c:pt>
                <c:pt idx="45">
                  <c:v>YASSURI DIANELA ALVAREZ CANO</c:v>
                </c:pt>
                <c:pt idx="46">
                  <c:v>ADRIANA LUCILA SOTO REYES</c:v>
                </c:pt>
                <c:pt idx="47">
                  <c:v>LUIS ALBERTO GREGORIO CARRERA</c:v>
                </c:pt>
                <c:pt idx="48">
                  <c:v>AZUCENA CONCEPCION ESPINOSA VICTORIANO</c:v>
                </c:pt>
                <c:pt idx="49">
                  <c:v>CLAUDIA OLIVERA MONTOR</c:v>
                </c:pt>
                <c:pt idx="50">
                  <c:v>ROBERTO CARLOS MARTINEZ GONZALEZ</c:v>
                </c:pt>
                <c:pt idx="51">
                  <c:v>NANCY JAZMIN SILVA GARCIA</c:v>
                </c:pt>
                <c:pt idx="52">
                  <c:v>ALEXIS RINCON MORALES</c:v>
                </c:pt>
                <c:pt idx="53">
                  <c:v>DIANA LIZET MENDEZ ANTONIO</c:v>
                </c:pt>
                <c:pt idx="54">
                  <c:v>AMAYRANI JOSELYN SCHIAFFINI SOSA</c:v>
                </c:pt>
              </c:strCache>
            </c:strRef>
          </c:cat>
          <c:val>
            <c:numRef>
              <c:f>'PPMSQC GRAF'!$C$3:$C$40</c:f>
              <c:numCache>
                <c:formatCode>General</c:formatCode>
                <c:ptCount val="55"/>
                <c:pt idx="0">
                  <c:v>68</c:v>
                </c:pt>
                <c:pt idx="1">
                  <c:v>110</c:v>
                </c:pt>
                <c:pt idx="2">
                  <c:v>137</c:v>
                </c:pt>
                <c:pt idx="3">
                  <c:v>191</c:v>
                </c:pt>
                <c:pt idx="4">
                  <c:v>259</c:v>
                </c:pt>
                <c:pt idx="5">
                  <c:v>271</c:v>
                </c:pt>
                <c:pt idx="6">
                  <c:v>303</c:v>
                </c:pt>
                <c:pt idx="7">
                  <c:v>363</c:v>
                </c:pt>
                <c:pt idx="8">
                  <c:v>380</c:v>
                </c:pt>
                <c:pt idx="9">
                  <c:v>383</c:v>
                </c:pt>
                <c:pt idx="10">
                  <c:v>408</c:v>
                </c:pt>
                <c:pt idx="11">
                  <c:v>444</c:v>
                </c:pt>
                <c:pt idx="12">
                  <c:v>462</c:v>
                </c:pt>
                <c:pt idx="13">
                  <c:v>466</c:v>
                </c:pt>
                <c:pt idx="14">
                  <c:v>471</c:v>
                </c:pt>
                <c:pt idx="15">
                  <c:v>488</c:v>
                </c:pt>
                <c:pt idx="16">
                  <c:v>539</c:v>
                </c:pt>
                <c:pt idx="17">
                  <c:v>540</c:v>
                </c:pt>
                <c:pt idx="18">
                  <c:v>544</c:v>
                </c:pt>
                <c:pt idx="19">
                  <c:v>548</c:v>
                </c:pt>
                <c:pt idx="20">
                  <c:v>550</c:v>
                </c:pt>
                <c:pt idx="21">
                  <c:v>628</c:v>
                </c:pt>
                <c:pt idx="22">
                  <c:v>641</c:v>
                </c:pt>
                <c:pt idx="23">
                  <c:v>709</c:v>
                </c:pt>
                <c:pt idx="24">
                  <c:v>761</c:v>
                </c:pt>
                <c:pt idx="25">
                  <c:v>766</c:v>
                </c:pt>
                <c:pt idx="26">
                  <c:v>779</c:v>
                </c:pt>
                <c:pt idx="27">
                  <c:v>781</c:v>
                </c:pt>
                <c:pt idx="28">
                  <c:v>785</c:v>
                </c:pt>
                <c:pt idx="29">
                  <c:v>793</c:v>
                </c:pt>
                <c:pt idx="30">
                  <c:v>812</c:v>
                </c:pt>
                <c:pt idx="31">
                  <c:v>848</c:v>
                </c:pt>
                <c:pt idx="32">
                  <c:v>900</c:v>
                </c:pt>
                <c:pt idx="33">
                  <c:v>900</c:v>
                </c:pt>
                <c:pt idx="34">
                  <c:v>925</c:v>
                </c:pt>
                <c:pt idx="35">
                  <c:v>963</c:v>
                </c:pt>
                <c:pt idx="36">
                  <c:v>966</c:v>
                </c:pt>
                <c:pt idx="37">
                  <c:v>1017</c:v>
                </c:pt>
                <c:pt idx="38">
                  <c:v>#N/A</c:v>
                </c:pt>
                <c:pt idx="39">
                  <c:v>112</c:v>
                </c:pt>
                <c:pt idx="40">
                  <c:v>157</c:v>
                </c:pt>
                <c:pt idx="41">
                  <c:v>203</c:v>
                </c:pt>
                <c:pt idx="42">
                  <c:v>205</c:v>
                </c:pt>
                <c:pt idx="43">
                  <c:v>254</c:v>
                </c:pt>
                <c:pt idx="44">
                  <c:v>284</c:v>
                </c:pt>
                <c:pt idx="45">
                  <c:v>303</c:v>
                </c:pt>
                <c:pt idx="46">
                  <c:v>323</c:v>
                </c:pt>
                <c:pt idx="47">
                  <c:v>330</c:v>
                </c:pt>
                <c:pt idx="48">
                  <c:v>353</c:v>
                </c:pt>
                <c:pt idx="49">
                  <c:v>366</c:v>
                </c:pt>
                <c:pt idx="50">
                  <c:v>368</c:v>
                </c:pt>
                <c:pt idx="51">
                  <c:v>384</c:v>
                </c:pt>
                <c:pt idx="52">
                  <c:v>392</c:v>
                </c:pt>
                <c:pt idx="53">
                  <c:v>408</c:v>
                </c:pt>
                <c:pt idx="54">
                  <c:v>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C-4D7D-988C-D505EC35C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03380656"/>
        <c:axId val="703374424"/>
      </c:barChart>
      <c:catAx>
        <c:axId val="70338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703374424"/>
        <c:crosses val="autoZero"/>
        <c:auto val="1"/>
        <c:lblAlgn val="ctr"/>
        <c:lblOffset val="100"/>
        <c:noMultiLvlLbl val="0"/>
      </c:catAx>
      <c:valAx>
        <c:axId val="7033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380656"/>
        <c:crosses val="autoZero"/>
        <c:crossBetween val="between"/>
      </c:valAx>
      <c:spPr>
        <a:noFill/>
        <a:ln>
          <a:solidFill>
            <a:schemeClr val="accent6">
              <a:lumMod val="60000"/>
              <a:lumOff val="4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Copy of Certificacion.xlsm]PPMSQC GRAF!TablaDinámica16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50800" cap="rnd">
            <a:solidFill>
              <a:schemeClr val="accent5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053299439932209E-2"/>
          <c:y val="0.11465126999414894"/>
          <c:w val="0.89784958769917544"/>
          <c:h val="0.7354708348489694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'PPMSQC GRAF'!$B$41</c:f>
              <c:strCache>
                <c:ptCount val="1"/>
                <c:pt idx="0">
                  <c:v>Suma de Suma de defectos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'PPMSQC GRAF'!$A$42:$A$79</c:f>
              <c:strCache>
                <c:ptCount val="64"/>
                <c:pt idx="0">
                  <c:v>YADIRA GAMBOA AGUIRRE</c:v>
                </c:pt>
                <c:pt idx="1">
                  <c:v>AMELIA JORGE NICOLAS</c:v>
                </c:pt>
                <c:pt idx="2">
                  <c:v>BLANCA CRISTAL MORENO PEREZ</c:v>
                </c:pt>
                <c:pt idx="3">
                  <c:v>CLARIVEL LEZAMA CALIPA</c:v>
                </c:pt>
                <c:pt idx="4">
                  <c:v>ROMEO LOPEZ ROBLERO</c:v>
                </c:pt>
                <c:pt idx="5">
                  <c:v>JOSE LORENZO FELIX</c:v>
                </c:pt>
                <c:pt idx="6">
                  <c:v>YANELI VELA GARCIA</c:v>
                </c:pt>
                <c:pt idx="7">
                  <c:v>MARIA DE LOS ANGELES XIMELLO VALDIVIA</c:v>
                </c:pt>
                <c:pt idx="8">
                  <c:v>ANGEL MANUEL VIALBA LUIS</c:v>
                </c:pt>
                <c:pt idx="9">
                  <c:v>MARCELO AQUINO DECEANO</c:v>
                </c:pt>
                <c:pt idx="10">
                  <c:v>MIGUEL ANGEL JOSE CRUZ</c:v>
                </c:pt>
                <c:pt idx="11">
                  <c:v>OZIEL PALMA NAPE</c:v>
                </c:pt>
                <c:pt idx="12">
                  <c:v>YOLANDA LOPEZ ROBLERO</c:v>
                </c:pt>
                <c:pt idx="13">
                  <c:v>RODRIGO ENRIQUE MENDOZA PEREZ</c:v>
                </c:pt>
                <c:pt idx="14">
                  <c:v>LUIS CARLOS MOYA MARTINEZ</c:v>
                </c:pt>
                <c:pt idx="15">
                  <c:v>JOSE ANDRES ZAVALA ORTIZ</c:v>
                </c:pt>
                <c:pt idx="16">
                  <c:v>YENNIFER GONZALEZ CONTRERAS</c:v>
                </c:pt>
                <c:pt idx="17">
                  <c:v>ISMAEL GRANDE VICENTE</c:v>
                </c:pt>
                <c:pt idx="18">
                  <c:v>GLORIA IVONNE MIMBELA GUTIERREZ</c:v>
                </c:pt>
                <c:pt idx="19">
                  <c:v>ISABEL CRISTINA ALBARADO AGUILAR</c:v>
                </c:pt>
                <c:pt idx="20">
                  <c:v>ISAI GOMEZ SUAREZ</c:v>
                </c:pt>
                <c:pt idx="21">
                  <c:v>AXEL MARIN GUEVARA</c:v>
                </c:pt>
                <c:pt idx="22">
                  <c:v>BLANCA ESTELA GUZMAN CALDERA</c:v>
                </c:pt>
                <c:pt idx="23">
                  <c:v>ROSARIO RUEDAS SUBIRIAS</c:v>
                </c:pt>
                <c:pt idx="24">
                  <c:v>MAYRA PEREZ SOLIS</c:v>
                </c:pt>
                <c:pt idx="25">
                  <c:v>LILIA ROSA MADRIGAL LOPEZ</c:v>
                </c:pt>
                <c:pt idx="26">
                  <c:v>HERMICENDO CALEB ZAVALA ZAVALA</c:v>
                </c:pt>
                <c:pt idx="27">
                  <c:v>ALEJANDRO ACOSTA AGUILERA</c:v>
                </c:pt>
                <c:pt idx="28">
                  <c:v>NAHUM SANCHEZ BERDON</c:v>
                </c:pt>
                <c:pt idx="29">
                  <c:v>JOSAFAT JIMENEZ ALEGRIA</c:v>
                </c:pt>
                <c:pt idx="30">
                  <c:v>EDGAR MANUEL ALMANZA CARRILLO</c:v>
                </c:pt>
                <c:pt idx="31">
                  <c:v>CLARISA VIRIDIANA VAZQUEZ HERNANDEZ</c:v>
                </c:pt>
                <c:pt idx="32">
                  <c:v>ORLANDO HERNANDEZ BAUTISTA</c:v>
                </c:pt>
                <c:pt idx="33">
                  <c:v>DANNA CITLALLI SILVA VILLA</c:v>
                </c:pt>
                <c:pt idx="34">
                  <c:v>LAURA SOTO DIAZ</c:v>
                </c:pt>
                <c:pt idx="35">
                  <c:v>LUZ ADRIANA GUEVARA MERAZ</c:v>
                </c:pt>
                <c:pt idx="36">
                  <c:v>FREDY REYES URIBE</c:v>
                </c:pt>
                <c:pt idx="37">
                  <c:v>NATIVIDAD MAGIN SOSOL</c:v>
                </c:pt>
                <c:pt idx="38">
                  <c:v>LAURA LOPEZ LOPEZ</c:v>
                </c:pt>
                <c:pt idx="39">
                  <c:v>ADRIAN CALDERON MORENO</c:v>
                </c:pt>
                <c:pt idx="40">
                  <c:v>MARVIN RAMON CASANOVA VELEZ</c:v>
                </c:pt>
                <c:pt idx="41">
                  <c:v>PALOMA GABRIELA REYES GARCIA</c:v>
                </c:pt>
                <c:pt idx="42">
                  <c:v>SILVIA IVONNE GARCIA MIRELES</c:v>
                </c:pt>
                <c:pt idx="43">
                  <c:v>FLOR NATALY GOMEZ GALAN</c:v>
                </c:pt>
                <c:pt idx="44">
                  <c:v>ANGEL JAVIER TORRES RAMIREZ</c:v>
                </c:pt>
                <c:pt idx="45">
                  <c:v>ERIKA ILEANA ESPINOZA RIVERA</c:v>
                </c:pt>
                <c:pt idx="46">
                  <c:v>OSVALDO CATALINO VICENTE</c:v>
                </c:pt>
                <c:pt idx="47">
                  <c:v>JAVIER CEHUALATL AGUILAR</c:v>
                </c:pt>
                <c:pt idx="48">
                  <c:v>LUIS EDUARDO FELIPE CRUZ</c:v>
                </c:pt>
                <c:pt idx="49">
                  <c:v>GUADALUPE ABRIS LUNA</c:v>
                </c:pt>
                <c:pt idx="50">
                  <c:v>GLADYS DEL CARMEN MARTINEZ PATRACA</c:v>
                </c:pt>
                <c:pt idx="51">
                  <c:v>ESMERALDA RESENDIZ RAMOS</c:v>
                </c:pt>
                <c:pt idx="52">
                  <c:v>JAZMIN PARRAL GARCIA</c:v>
                </c:pt>
                <c:pt idx="53">
                  <c:v>HECTOR MANUEL BORJA MARTINEZ</c:v>
                </c:pt>
                <c:pt idx="54">
                  <c:v>CORNELIO DE LEON SALAS</c:v>
                </c:pt>
                <c:pt idx="55">
                  <c:v>RAFAEL BALCAZAR VIDANA</c:v>
                </c:pt>
                <c:pt idx="56">
                  <c:v>GUADALUPE ROMERO CABRERA</c:v>
                </c:pt>
                <c:pt idx="57">
                  <c:v>IVETH MERARID AGUILAR BARRIENTOS</c:v>
                </c:pt>
                <c:pt idx="58">
                  <c:v>NANCY GARCIA PEREZ</c:v>
                </c:pt>
                <c:pt idx="59">
                  <c:v>BRENDA YANETH MORA CARRILLO</c:v>
                </c:pt>
                <c:pt idx="60">
                  <c:v>RICARDO JAHIR AVILA CONTRERAS</c:v>
                </c:pt>
                <c:pt idx="61">
                  <c:v>ALBINO ANTONIO PEREZ</c:v>
                </c:pt>
                <c:pt idx="62">
                  <c:v>FILEMON MARTINEZ FELIPE</c:v>
                </c:pt>
                <c:pt idx="63">
                  <c:v>ADONIRAM BALCAZAR VIDANA</c:v>
                </c:pt>
              </c:strCache>
            </c:strRef>
          </c:cat>
          <c:val>
            <c:numRef>
              <c:f>'PPMSQC GRAF'!$B$42:$B$79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8</c:v>
                </c:pt>
                <c:pt idx="25">
                  <c:v>8</c:v>
                </c:pt>
                <c:pt idx="26">
                  <c:v>5</c:v>
                </c:pt>
                <c:pt idx="27">
                  <c:v>2</c:v>
                </c:pt>
                <c:pt idx="28">
                  <c:v>5</c:v>
                </c:pt>
                <c:pt idx="29">
                  <c:v>1</c:v>
                </c:pt>
                <c:pt idx="30">
                  <c:v>3</c:v>
                </c:pt>
                <c:pt idx="31">
                  <c:v>8</c:v>
                </c:pt>
                <c:pt idx="32">
                  <c:v>4</c:v>
                </c:pt>
                <c:pt idx="33">
                  <c:v>3</c:v>
                </c:pt>
                <c:pt idx="34">
                  <c:v>7</c:v>
                </c:pt>
                <c:pt idx="35">
                  <c:v>4</c:v>
                </c:pt>
                <c:pt idx="36">
                  <c:v>13</c:v>
                </c:pt>
                <c:pt idx="37">
                  <c:v>7</c:v>
                </c:pt>
                <c:pt idx="38">
                  <c:v>#N/A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5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5-495B-AF03-DF53302939C0}"/>
            </c:ext>
          </c:extLst>
        </c:ser>
        <c:ser>
          <c:idx val="1"/>
          <c:order val="1"/>
          <c:tx>
            <c:strRef>
              <c:f>'PPMSQC GRAF'!$C$41</c:f>
              <c:strCache>
                <c:ptCount val="1"/>
                <c:pt idx="0">
                  <c:v>Suma de PPM'S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'PPMSQC GRAF'!$A$42:$A$79</c:f>
              <c:strCache>
                <c:ptCount val="64"/>
                <c:pt idx="0">
                  <c:v>YADIRA GAMBOA AGUIRRE</c:v>
                </c:pt>
                <c:pt idx="1">
                  <c:v>AMELIA JORGE NICOLAS</c:v>
                </c:pt>
                <c:pt idx="2">
                  <c:v>BLANCA CRISTAL MORENO PEREZ</c:v>
                </c:pt>
                <c:pt idx="3">
                  <c:v>CLARIVEL LEZAMA CALIPA</c:v>
                </c:pt>
                <c:pt idx="4">
                  <c:v>ROMEO LOPEZ ROBLERO</c:v>
                </c:pt>
                <c:pt idx="5">
                  <c:v>JOSE LORENZO FELIX</c:v>
                </c:pt>
                <c:pt idx="6">
                  <c:v>YANELI VELA GARCIA</c:v>
                </c:pt>
                <c:pt idx="7">
                  <c:v>MARIA DE LOS ANGELES XIMELLO VALDIVIA</c:v>
                </c:pt>
                <c:pt idx="8">
                  <c:v>ANGEL MANUEL VIALBA LUIS</c:v>
                </c:pt>
                <c:pt idx="9">
                  <c:v>MARCELO AQUINO DECEANO</c:v>
                </c:pt>
                <c:pt idx="10">
                  <c:v>MIGUEL ANGEL JOSE CRUZ</c:v>
                </c:pt>
                <c:pt idx="11">
                  <c:v>OZIEL PALMA NAPE</c:v>
                </c:pt>
                <c:pt idx="12">
                  <c:v>YOLANDA LOPEZ ROBLERO</c:v>
                </c:pt>
                <c:pt idx="13">
                  <c:v>RODRIGO ENRIQUE MENDOZA PEREZ</c:v>
                </c:pt>
                <c:pt idx="14">
                  <c:v>LUIS CARLOS MOYA MARTINEZ</c:v>
                </c:pt>
                <c:pt idx="15">
                  <c:v>JOSE ANDRES ZAVALA ORTIZ</c:v>
                </c:pt>
                <c:pt idx="16">
                  <c:v>YENNIFER GONZALEZ CONTRERAS</c:v>
                </c:pt>
                <c:pt idx="17">
                  <c:v>ISMAEL GRANDE VICENTE</c:v>
                </c:pt>
                <c:pt idx="18">
                  <c:v>GLORIA IVONNE MIMBELA GUTIERREZ</c:v>
                </c:pt>
                <c:pt idx="19">
                  <c:v>ISABEL CRISTINA ALBARADO AGUILAR</c:v>
                </c:pt>
                <c:pt idx="20">
                  <c:v>ISAI GOMEZ SUAREZ</c:v>
                </c:pt>
                <c:pt idx="21">
                  <c:v>AXEL MARIN GUEVARA</c:v>
                </c:pt>
                <c:pt idx="22">
                  <c:v>BLANCA ESTELA GUZMAN CALDERA</c:v>
                </c:pt>
                <c:pt idx="23">
                  <c:v>ROSARIO RUEDAS SUBIRIAS</c:v>
                </c:pt>
                <c:pt idx="24">
                  <c:v>MAYRA PEREZ SOLIS</c:v>
                </c:pt>
                <c:pt idx="25">
                  <c:v>LILIA ROSA MADRIGAL LOPEZ</c:v>
                </c:pt>
                <c:pt idx="26">
                  <c:v>HERMICENDO CALEB ZAVALA ZAVALA</c:v>
                </c:pt>
                <c:pt idx="27">
                  <c:v>ALEJANDRO ACOSTA AGUILERA</c:v>
                </c:pt>
                <c:pt idx="28">
                  <c:v>NAHUM SANCHEZ BERDON</c:v>
                </c:pt>
                <c:pt idx="29">
                  <c:v>JOSAFAT JIMENEZ ALEGRIA</c:v>
                </c:pt>
                <c:pt idx="30">
                  <c:v>EDGAR MANUEL ALMANZA CARRILLO</c:v>
                </c:pt>
                <c:pt idx="31">
                  <c:v>CLARISA VIRIDIANA VAZQUEZ HERNANDEZ</c:v>
                </c:pt>
                <c:pt idx="32">
                  <c:v>ORLANDO HERNANDEZ BAUTISTA</c:v>
                </c:pt>
                <c:pt idx="33">
                  <c:v>DANNA CITLALLI SILVA VILLA</c:v>
                </c:pt>
                <c:pt idx="34">
                  <c:v>LAURA SOTO DIAZ</c:v>
                </c:pt>
                <c:pt idx="35">
                  <c:v>LUZ ADRIANA GUEVARA MERAZ</c:v>
                </c:pt>
                <c:pt idx="36">
                  <c:v>FREDY REYES URIBE</c:v>
                </c:pt>
                <c:pt idx="37">
                  <c:v>NATIVIDAD MAGIN SOSOL</c:v>
                </c:pt>
                <c:pt idx="38">
                  <c:v>LAURA LOPEZ LOPEZ</c:v>
                </c:pt>
                <c:pt idx="39">
                  <c:v>ADRIAN CALDERON MORENO</c:v>
                </c:pt>
                <c:pt idx="40">
                  <c:v>MARVIN RAMON CASANOVA VELEZ</c:v>
                </c:pt>
                <c:pt idx="41">
                  <c:v>PALOMA GABRIELA REYES GARCIA</c:v>
                </c:pt>
                <c:pt idx="42">
                  <c:v>SILVIA IVONNE GARCIA MIRELES</c:v>
                </c:pt>
                <c:pt idx="43">
                  <c:v>FLOR NATALY GOMEZ GALAN</c:v>
                </c:pt>
                <c:pt idx="44">
                  <c:v>ANGEL JAVIER TORRES RAMIREZ</c:v>
                </c:pt>
                <c:pt idx="45">
                  <c:v>ERIKA ILEANA ESPINOZA RIVERA</c:v>
                </c:pt>
                <c:pt idx="46">
                  <c:v>OSVALDO CATALINO VICENTE</c:v>
                </c:pt>
                <c:pt idx="47">
                  <c:v>JAVIER CEHUALATL AGUILAR</c:v>
                </c:pt>
                <c:pt idx="48">
                  <c:v>LUIS EDUARDO FELIPE CRUZ</c:v>
                </c:pt>
                <c:pt idx="49">
                  <c:v>GUADALUPE ABRIS LUNA</c:v>
                </c:pt>
                <c:pt idx="50">
                  <c:v>GLADYS DEL CARMEN MARTINEZ PATRACA</c:v>
                </c:pt>
                <c:pt idx="51">
                  <c:v>ESMERALDA RESENDIZ RAMOS</c:v>
                </c:pt>
                <c:pt idx="52">
                  <c:v>JAZMIN PARRAL GARCIA</c:v>
                </c:pt>
                <c:pt idx="53">
                  <c:v>HECTOR MANUEL BORJA MARTINEZ</c:v>
                </c:pt>
                <c:pt idx="54">
                  <c:v>CORNELIO DE LEON SALAS</c:v>
                </c:pt>
                <c:pt idx="55">
                  <c:v>RAFAEL BALCAZAR VIDANA</c:v>
                </c:pt>
                <c:pt idx="56">
                  <c:v>GUADALUPE ROMERO CABRERA</c:v>
                </c:pt>
                <c:pt idx="57">
                  <c:v>IVETH MERARID AGUILAR BARRIENTOS</c:v>
                </c:pt>
                <c:pt idx="58">
                  <c:v>NANCY GARCIA PEREZ</c:v>
                </c:pt>
                <c:pt idx="59">
                  <c:v>BRENDA YANETH MORA CARRILLO</c:v>
                </c:pt>
                <c:pt idx="60">
                  <c:v>RICARDO JAHIR AVILA CONTRERAS</c:v>
                </c:pt>
                <c:pt idx="61">
                  <c:v>ALBINO ANTONIO PEREZ</c:v>
                </c:pt>
                <c:pt idx="62">
                  <c:v>FILEMON MARTINEZ FELIPE</c:v>
                </c:pt>
                <c:pt idx="63">
                  <c:v>ADONIRAM BALCAZAR VIDANA</c:v>
                </c:pt>
              </c:strCache>
            </c:strRef>
          </c:cat>
          <c:val>
            <c:numRef>
              <c:f>'PPMSQC GRAF'!$C$42:$C$79</c:f>
              <c:numCache>
                <c:formatCode>General</c:formatCode>
                <c:ptCount val="64"/>
                <c:pt idx="0">
                  <c:v>112</c:v>
                </c:pt>
                <c:pt idx="1">
                  <c:v>157</c:v>
                </c:pt>
                <c:pt idx="2">
                  <c:v>203</c:v>
                </c:pt>
                <c:pt idx="3">
                  <c:v>205</c:v>
                </c:pt>
                <c:pt idx="4">
                  <c:v>254</c:v>
                </c:pt>
                <c:pt idx="5">
                  <c:v>284</c:v>
                </c:pt>
                <c:pt idx="6">
                  <c:v>303</c:v>
                </c:pt>
                <c:pt idx="7">
                  <c:v>323</c:v>
                </c:pt>
                <c:pt idx="8">
                  <c:v>330</c:v>
                </c:pt>
                <c:pt idx="9">
                  <c:v>353</c:v>
                </c:pt>
                <c:pt idx="10">
                  <c:v>366</c:v>
                </c:pt>
                <c:pt idx="11">
                  <c:v>368</c:v>
                </c:pt>
                <c:pt idx="12">
                  <c:v>384</c:v>
                </c:pt>
                <c:pt idx="13">
                  <c:v>392</c:v>
                </c:pt>
                <c:pt idx="14">
                  <c:v>408</c:v>
                </c:pt>
                <c:pt idx="15">
                  <c:v>410</c:v>
                </c:pt>
                <c:pt idx="16">
                  <c:v>416</c:v>
                </c:pt>
                <c:pt idx="17">
                  <c:v>439</c:v>
                </c:pt>
                <c:pt idx="18">
                  <c:v>485</c:v>
                </c:pt>
                <c:pt idx="19">
                  <c:v>520</c:v>
                </c:pt>
                <c:pt idx="20">
                  <c:v>606</c:v>
                </c:pt>
                <c:pt idx="21">
                  <c:v>628</c:v>
                </c:pt>
                <c:pt idx="22">
                  <c:v>647</c:v>
                </c:pt>
                <c:pt idx="23">
                  <c:v>647</c:v>
                </c:pt>
                <c:pt idx="24">
                  <c:v>658</c:v>
                </c:pt>
                <c:pt idx="25">
                  <c:v>675</c:v>
                </c:pt>
                <c:pt idx="26">
                  <c:v>680</c:v>
                </c:pt>
                <c:pt idx="27">
                  <c:v>713</c:v>
                </c:pt>
                <c:pt idx="28">
                  <c:v>715</c:v>
                </c:pt>
                <c:pt idx="29">
                  <c:v>803</c:v>
                </c:pt>
                <c:pt idx="30">
                  <c:v>819</c:v>
                </c:pt>
                <c:pt idx="31">
                  <c:v>858</c:v>
                </c:pt>
                <c:pt idx="32">
                  <c:v>894</c:v>
                </c:pt>
                <c:pt idx="33">
                  <c:v>912</c:v>
                </c:pt>
                <c:pt idx="34">
                  <c:v>916</c:v>
                </c:pt>
                <c:pt idx="35">
                  <c:v>919</c:v>
                </c:pt>
                <c:pt idx="36">
                  <c:v>954</c:v>
                </c:pt>
                <c:pt idx="37">
                  <c:v>1023</c:v>
                </c:pt>
                <c:pt idx="38">
                  <c:v>#N/A</c:v>
                </c:pt>
                <c:pt idx="39">
                  <c:v>1010</c:v>
                </c:pt>
                <c:pt idx="40">
                  <c:v>1190</c:v>
                </c:pt>
                <c:pt idx="41">
                  <c:v>1851</c:v>
                </c:pt>
                <c:pt idx="42">
                  <c:v>2150</c:v>
                </c:pt>
                <c:pt idx="43">
                  <c:v>2197</c:v>
                </c:pt>
                <c:pt idx="44">
                  <c:v>2222</c:v>
                </c:pt>
                <c:pt idx="45">
                  <c:v>2380</c:v>
                </c:pt>
                <c:pt idx="46">
                  <c:v>2380</c:v>
                </c:pt>
                <c:pt idx="47">
                  <c:v>2777</c:v>
                </c:pt>
                <c:pt idx="48">
                  <c:v>3508</c:v>
                </c:pt>
                <c:pt idx="49">
                  <c:v>6060</c:v>
                </c:pt>
                <c:pt idx="50">
                  <c:v>6250</c:v>
                </c:pt>
                <c:pt idx="51">
                  <c:v>9523</c:v>
                </c:pt>
                <c:pt idx="52">
                  <c:v>43498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5-495B-AF03-DF53302939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743516064"/>
        <c:axId val="743512456"/>
      </c:barChart>
      <c:catAx>
        <c:axId val="74351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512456"/>
        <c:crosses val="autoZero"/>
        <c:auto val="1"/>
        <c:lblAlgn val="ctr"/>
        <c:lblOffset val="100"/>
        <c:noMultiLvlLbl val="0"/>
      </c:catAx>
      <c:valAx>
        <c:axId val="7435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51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Copy of Certificacion.xlsm]PPMSQC GRAF!TablaDinámica20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50800" cap="rnd">
            <a:solidFill>
              <a:schemeClr val="accent5">
                <a:lumMod val="7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8348234950977466E-2"/>
          <c:y val="0.11535984878322184"/>
          <c:w val="0.89876065186418375"/>
          <c:h val="0.737814086987400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'PPMSQC GRAF'!$B$120</c:f>
              <c:strCache>
                <c:ptCount val="1"/>
                <c:pt idx="0">
                  <c:v>Suma de Defectos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'PPMSQC GRAF'!$A$121:$A$139</c:f>
              <c:strCache>
                <c:ptCount val="18"/>
                <c:pt idx="0">
                  <c:v>JOSE ANDRES ZAVALA ORTIZ</c:v>
                </c:pt>
                <c:pt idx="1">
                  <c:v>LAURA SOTO DIAZ</c:v>
                </c:pt>
                <c:pt idx="2">
                  <c:v>GLORIA IVONNE MIMBELA GUTIERREZ</c:v>
                </c:pt>
                <c:pt idx="3">
                  <c:v>ERIKA ILEANA ESPINOZA RIVERA</c:v>
                </c:pt>
                <c:pt idx="4">
                  <c:v>DANNA CITLALLI SILVA VILLA</c:v>
                </c:pt>
                <c:pt idx="5">
                  <c:v>JOSE LORENZO FELIX</c:v>
                </c:pt>
                <c:pt idx="6">
                  <c:v>NANCY GARCIA PEREZ</c:v>
                </c:pt>
                <c:pt idx="7">
                  <c:v>ESMERALDA RESENDIZ RAMOS</c:v>
                </c:pt>
                <c:pt idx="8">
                  <c:v>YANELI VELA GARCIA</c:v>
                </c:pt>
                <c:pt idx="9">
                  <c:v>LUIS CARLOS MOYA MARTINEZ</c:v>
                </c:pt>
                <c:pt idx="10">
                  <c:v>CLARISA VIRIDIANA VAZQUEZ HERNANDEZ</c:v>
                </c:pt>
                <c:pt idx="11">
                  <c:v>ALEJANDRO ACOSTA AGUILERA</c:v>
                </c:pt>
                <c:pt idx="12">
                  <c:v>IVETH MERARID AGUILAR BARRIENTOS</c:v>
                </c:pt>
                <c:pt idx="13">
                  <c:v>ALBINO ANTONIO PEREZ</c:v>
                </c:pt>
                <c:pt idx="14">
                  <c:v>HECTOR MANUEL BORJA MARTINEZ</c:v>
                </c:pt>
                <c:pt idx="15">
                  <c:v>LILIA ROSA MADRIGAL LOPEZ</c:v>
                </c:pt>
                <c:pt idx="16">
                  <c:v>JOSAFAT JIMENEZ ALEGRIA</c:v>
                </c:pt>
                <c:pt idx="17">
                  <c:v>ADONIRAM BALCAZAR VIDANA</c:v>
                </c:pt>
              </c:strCache>
            </c:strRef>
          </c:cat>
          <c:val>
            <c:numRef>
              <c:f>'PPMSQC GRAF'!$B$121:$B$139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4F-44C5-B32A-68717AAAE700}"/>
            </c:ext>
          </c:extLst>
        </c:ser>
        <c:ser>
          <c:idx val="1"/>
          <c:order val="1"/>
          <c:tx>
            <c:strRef>
              <c:f>'PPMSQC GRAF'!$C$120</c:f>
              <c:strCache>
                <c:ptCount val="1"/>
                <c:pt idx="0">
                  <c:v>Suma de PPM'S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'PPMSQC GRAF'!$A$121:$A$139</c:f>
              <c:strCache>
                <c:ptCount val="18"/>
                <c:pt idx="0">
                  <c:v>JOSE ANDRES ZAVALA ORTIZ</c:v>
                </c:pt>
                <c:pt idx="1">
                  <c:v>LAURA SOTO DIAZ</c:v>
                </c:pt>
                <c:pt idx="2">
                  <c:v>GLORIA IVONNE MIMBELA GUTIERREZ</c:v>
                </c:pt>
                <c:pt idx="3">
                  <c:v>ERIKA ILEANA ESPINOZA RIVERA</c:v>
                </c:pt>
                <c:pt idx="4">
                  <c:v>DANNA CITLALLI SILVA VILLA</c:v>
                </c:pt>
                <c:pt idx="5">
                  <c:v>JOSE LORENZO FELIX</c:v>
                </c:pt>
                <c:pt idx="6">
                  <c:v>NANCY GARCIA PEREZ</c:v>
                </c:pt>
                <c:pt idx="7">
                  <c:v>ESMERALDA RESENDIZ RAMOS</c:v>
                </c:pt>
                <c:pt idx="8">
                  <c:v>YANELI VELA GARCIA</c:v>
                </c:pt>
                <c:pt idx="9">
                  <c:v>LUIS CARLOS MOYA MARTINEZ</c:v>
                </c:pt>
                <c:pt idx="10">
                  <c:v>CLARISA VIRIDIANA VAZQUEZ HERNANDEZ</c:v>
                </c:pt>
                <c:pt idx="11">
                  <c:v>ALEJANDRO ACOSTA AGUILERA</c:v>
                </c:pt>
                <c:pt idx="12">
                  <c:v>IVETH MERARID AGUILAR BARRIENTOS</c:v>
                </c:pt>
                <c:pt idx="13">
                  <c:v>ALBINO ANTONIO PEREZ</c:v>
                </c:pt>
                <c:pt idx="14">
                  <c:v>HECTOR MANUEL BORJA MARTINEZ</c:v>
                </c:pt>
                <c:pt idx="15">
                  <c:v>LILIA ROSA MADRIGAL LOPEZ</c:v>
                </c:pt>
                <c:pt idx="16">
                  <c:v>JOSAFAT JIMENEZ ALEGRIA</c:v>
                </c:pt>
                <c:pt idx="17">
                  <c:v>ADONIRAM BALCAZAR VIDANA</c:v>
                </c:pt>
              </c:strCache>
            </c:strRef>
          </c:cat>
          <c:val>
            <c:numRef>
              <c:f>'PPMSQC GRAF'!$C$121:$C$139</c:f>
              <c:numCache>
                <c:formatCode>General</c:formatCode>
                <c:ptCount val="18"/>
                <c:pt idx="0">
                  <c:v>617</c:v>
                </c:pt>
                <c:pt idx="1">
                  <c:v>757</c:v>
                </c:pt>
                <c:pt idx="2">
                  <c:v>980</c:v>
                </c:pt>
                <c:pt idx="3">
                  <c:v>1149</c:v>
                </c:pt>
                <c:pt idx="4">
                  <c:v>1149</c:v>
                </c:pt>
                <c:pt idx="5">
                  <c:v>1388</c:v>
                </c:pt>
                <c:pt idx="6">
                  <c:v>1515</c:v>
                </c:pt>
                <c:pt idx="7">
                  <c:v>1960</c:v>
                </c:pt>
                <c:pt idx="8">
                  <c:v>2150</c:v>
                </c:pt>
                <c:pt idx="9">
                  <c:v>2380</c:v>
                </c:pt>
                <c:pt idx="10">
                  <c:v>2666</c:v>
                </c:pt>
                <c:pt idx="11">
                  <c:v>2777</c:v>
                </c:pt>
                <c:pt idx="12">
                  <c:v>2962</c:v>
                </c:pt>
                <c:pt idx="13">
                  <c:v>3030</c:v>
                </c:pt>
                <c:pt idx="14">
                  <c:v>4166</c:v>
                </c:pt>
                <c:pt idx="15">
                  <c:v>4437</c:v>
                </c:pt>
                <c:pt idx="16">
                  <c:v>5128</c:v>
                </c:pt>
                <c:pt idx="17">
                  <c:v>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4C5-B32A-68717AAA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62807144"/>
        <c:axId val="662807800"/>
      </c:barChart>
      <c:catAx>
        <c:axId val="662807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07800"/>
        <c:crosses val="autoZero"/>
        <c:auto val="1"/>
        <c:lblAlgn val="ctr"/>
        <c:lblOffset val="100"/>
        <c:noMultiLvlLbl val="0"/>
      </c:catAx>
      <c:valAx>
        <c:axId val="66280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0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59974906752889E-2"/>
          <c:y val="8.9532469254285096E-2"/>
          <c:w val="0.90784653904345014"/>
          <c:h val="0.77055571004860024"/>
        </c:manualLayout>
      </c:layout>
      <c:barChart>
        <c:barDir val="col"/>
        <c:grouping val="stacked"/>
        <c:varyColors val="0"/>
        <c:ser>
          <c:idx val="0"/>
          <c:order val="0"/>
          <c:tx>
            <c:v>Defectos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i="0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PPMSQC!$U$4:$U$9</c:f>
              <c:strCache>
                <c:ptCount val="6"/>
                <c:pt idx="0">
                  <c:v>AMAYRANI JOSELYN SCHIAFFINI SOSA</c:v>
                </c:pt>
                <c:pt idx="1">
                  <c:v>YASSURI DIANELA ALVAREZ CANO</c:v>
                </c:pt>
                <c:pt idx="2">
                  <c:v>ROBERTO CARLOS MARTINEZ GONZALEZ</c:v>
                </c:pt>
                <c:pt idx="3">
                  <c:v>ADONIRAM BALCAZAR VIDANA</c:v>
                </c:pt>
                <c:pt idx="4">
                  <c:v>JOSAFAT JIMENEZ ALEGRIA</c:v>
                </c:pt>
                <c:pt idx="5">
                  <c:v>LILIA ROSA MADRIGAL LOPEZ</c:v>
                </c:pt>
              </c:strCache>
            </c:strRef>
          </c:cat>
          <c:val>
            <c:numRef>
              <c:f>PPMSQC!$V$4:$V$9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20-47BA-A5C4-1DE82DD90271}"/>
            </c:ext>
          </c:extLst>
        </c:ser>
        <c:ser>
          <c:idx val="1"/>
          <c:order val="1"/>
          <c:tx>
            <c:v>PPMS</c:v>
          </c:tx>
          <c:invertIfNegative val="0"/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20-47BA-A5C4-1DE82DD90271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20-47BA-A5C4-1DE82DD90271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20-47BA-A5C4-1DE82DD90271}"/>
                </c:ext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20-47BA-A5C4-1DE82DD90271}"/>
                </c:ext>
              </c:extLst>
            </c:dLbl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20-47BA-A5C4-1DE82DD90271}"/>
                </c:ext>
              </c:extLst>
            </c:dLbl>
            <c:dLbl>
              <c:idx val="5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20-47BA-A5C4-1DE82DD902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PPMSQC!$U$4:$U$9</c:f>
              <c:strCache>
                <c:ptCount val="6"/>
                <c:pt idx="0">
                  <c:v>AMAYRANI JOSELYN SCHIAFFINI SOSA</c:v>
                </c:pt>
                <c:pt idx="1">
                  <c:v>YASSURI DIANELA ALVAREZ CANO</c:v>
                </c:pt>
                <c:pt idx="2">
                  <c:v>ROBERTO CARLOS MARTINEZ GONZALEZ</c:v>
                </c:pt>
                <c:pt idx="3">
                  <c:v>ADONIRAM BALCAZAR VIDANA</c:v>
                </c:pt>
                <c:pt idx="4">
                  <c:v>JOSAFAT JIMENEZ ALEGRIA</c:v>
                </c:pt>
                <c:pt idx="5">
                  <c:v>LILIA ROSA MADRIGAL LOPEZ</c:v>
                </c:pt>
              </c:strCache>
            </c:strRef>
          </c:cat>
          <c:val>
            <c:numRef>
              <c:f>PPMSQC!$W$4:$W$9</c:f>
              <c:numCache>
                <c:formatCode>General</c:formatCode>
                <c:ptCount val="6"/>
                <c:pt idx="0">
                  <c:v>9523</c:v>
                </c:pt>
                <c:pt idx="1">
                  <c:v>6250</c:v>
                </c:pt>
                <c:pt idx="2">
                  <c:v>6060</c:v>
                </c:pt>
                <c:pt idx="3">
                  <c:v>7407</c:v>
                </c:pt>
                <c:pt idx="4">
                  <c:v>5128</c:v>
                </c:pt>
                <c:pt idx="5">
                  <c:v>4437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20-47BA-A5C4-1DE82DD90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803008"/>
        <c:axId val="173804544"/>
      </c:barChart>
      <c:catAx>
        <c:axId val="17380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100" b="1" i="0" baseline="0"/>
            </a:pPr>
            <a:endParaRPr lang="en-US"/>
          </a:p>
        </c:txPr>
        <c:crossAx val="173804544"/>
        <c:crosses val="autoZero"/>
        <c:auto val="1"/>
        <c:lblAlgn val="ctr"/>
        <c:lblOffset val="100"/>
        <c:noMultiLvlLbl val="0"/>
      </c:catAx>
      <c:valAx>
        <c:axId val="17380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03008"/>
        <c:crosses val="autoZero"/>
        <c:crossBetween val="between"/>
      </c:valAx>
    </c:plotArea>
    <c:plotVisOnly val="0"/>
    <c:dispBlanksAs val="gap"/>
    <c:showDLblsOverMax val="0"/>
  </c:chart>
  <c:txPr>
    <a:bodyPr/>
    <a:lstStyle/>
    <a:p>
      <a:pPr>
        <a:defRPr sz="1100" baseline="0">
          <a:latin typeface="Arial" pitchFamily="34" charset="0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59974906752889E-2"/>
          <c:y val="8.9532469254285152E-2"/>
          <c:w val="0.90784653904345014"/>
          <c:h val="0.77055571004860046"/>
        </c:manualLayout>
      </c:layout>
      <c:barChart>
        <c:barDir val="col"/>
        <c:grouping val="stacked"/>
        <c:varyColors val="0"/>
        <c:ser>
          <c:idx val="0"/>
          <c:order val="0"/>
          <c:tx>
            <c:v>Defectos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i="0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PPMSQC!$U$11:$U$16</c:f>
              <c:strCache>
                <c:ptCount val="6"/>
                <c:pt idx="0">
                  <c:v>AMAYRANI JOSELYN SCHIAFFINI SOSA</c:v>
                </c:pt>
                <c:pt idx="1">
                  <c:v>DIANA LIZET MENDEZ ANTONIO</c:v>
                </c:pt>
                <c:pt idx="2">
                  <c:v>ALEXIS RINCON MORALES</c:v>
                </c:pt>
                <c:pt idx="3">
                  <c:v>ADONIRAM BALCAZAR VIDANA</c:v>
                </c:pt>
                <c:pt idx="4">
                  <c:v>FILEMON MARTINEZ FELIPE</c:v>
                </c:pt>
                <c:pt idx="5">
                  <c:v>ALBINO ANTONIO PEREZ</c:v>
                </c:pt>
              </c:strCache>
            </c:strRef>
          </c:cat>
          <c:val>
            <c:numRef>
              <c:f>PPMSQC!$V$11:$V$16</c:f>
              <c:numCache>
                <c:formatCode>General</c:formatCode>
                <c:ptCount val="6"/>
                <c:pt idx="0">
                  <c:v>11</c:v>
                </c:pt>
                <c:pt idx="1">
                  <c:v>6</c:v>
                </c:pt>
                <c:pt idx="2">
                  <c:v>1</c:v>
                </c:pt>
                <c:pt idx="3">
                  <c:v>11</c:v>
                </c:pt>
                <c:pt idx="4">
                  <c:v>12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FA-4D73-BAC3-505159E1727B}"/>
            </c:ext>
          </c:extLst>
        </c:ser>
        <c:ser>
          <c:idx val="1"/>
          <c:order val="1"/>
          <c:tx>
            <c:v>PPMS</c:v>
          </c:tx>
          <c:invertIfNegative val="0"/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6FA-4D73-BAC3-505159E1727B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FA-4D73-BAC3-505159E1727B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FA-4D73-BAC3-505159E1727B}"/>
                </c:ext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FA-4D73-BAC3-505159E1727B}"/>
                </c:ext>
              </c:extLst>
            </c:dLbl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6FA-4D73-BAC3-505159E1727B}"/>
                </c:ext>
              </c:extLst>
            </c:dLbl>
            <c:dLbl>
              <c:idx val="5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FA-4D73-BAC3-505159E1727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PPMSQC!$U$11:$U$16</c:f>
              <c:strCache>
                <c:ptCount val="6"/>
                <c:pt idx="0">
                  <c:v>AMAYRANI JOSELYN SCHIAFFINI SOSA</c:v>
                </c:pt>
                <c:pt idx="1">
                  <c:v>DIANA LIZET MENDEZ ANTONIO</c:v>
                </c:pt>
                <c:pt idx="2">
                  <c:v>ALEXIS RINCON MORALES</c:v>
                </c:pt>
                <c:pt idx="3">
                  <c:v>ADONIRAM BALCAZAR VIDANA</c:v>
                </c:pt>
                <c:pt idx="4">
                  <c:v>FILEMON MARTINEZ FELIPE</c:v>
                </c:pt>
                <c:pt idx="5">
                  <c:v>ALBINO ANTONIO PEREZ</c:v>
                </c:pt>
              </c:strCache>
            </c:strRef>
          </c:cat>
          <c:val>
            <c:numRef>
              <c:f>PPMSQC!$W$11:$W$16</c:f>
              <c:numCache>
                <c:formatCode>General</c:formatCode>
                <c:ptCount val="6"/>
                <c:pt idx="0">
                  <c:v>5022</c:v>
                </c:pt>
                <c:pt idx="1">
                  <c:v>4385</c:v>
                </c:pt>
                <c:pt idx="2">
                  <c:v>3703</c:v>
                </c:pt>
                <c:pt idx="3">
                  <c:v>3297</c:v>
                </c:pt>
                <c:pt idx="4">
                  <c:v>1869</c:v>
                </c:pt>
                <c:pt idx="5">
                  <c:v>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FA-4D73-BAC3-505159E17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845120"/>
        <c:axId val="173883776"/>
      </c:barChart>
      <c:catAx>
        <c:axId val="17384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100" b="1" i="0" baseline="0"/>
            </a:pPr>
            <a:endParaRPr lang="en-US"/>
          </a:p>
        </c:txPr>
        <c:crossAx val="173883776"/>
        <c:crosses val="autoZero"/>
        <c:auto val="1"/>
        <c:lblAlgn val="ctr"/>
        <c:lblOffset val="100"/>
        <c:noMultiLvlLbl val="0"/>
      </c:catAx>
      <c:valAx>
        <c:axId val="17388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45120"/>
        <c:crosses val="autoZero"/>
        <c:crossBetween val="between"/>
      </c:valAx>
    </c:plotArea>
    <c:plotVisOnly val="0"/>
    <c:dispBlanksAs val="gap"/>
    <c:showDLblsOverMax val="0"/>
  </c:chart>
  <c:txPr>
    <a:bodyPr/>
    <a:lstStyle/>
    <a:p>
      <a:pPr>
        <a:defRPr sz="1100" baseline="0">
          <a:latin typeface="Arial" pitchFamily="34" charset="0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204107</xdr:colOff>
      <xdr:row>1</xdr:row>
      <xdr:rowOff>81643</xdr:rowOff>
    </xdr:from>
    <xdr:to>
      <xdr:col>15</xdr:col>
      <xdr:colOff>789214</xdr:colOff>
      <xdr:row>2</xdr:row>
      <xdr:rowOff>544286</xdr:rowOff>
    </xdr:to>
    <xdr:sp macro="" textlink="">
      <xdr:nvSpPr>
        <xdr:cNvPr id="3" name="Rounded Rectangular Callou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668000" y="285750"/>
          <a:ext cx="1918607" cy="666750"/>
        </a:xfrm>
        <a:prstGeom prst="wedgeRoundRectCallout">
          <a:avLst>
            <a:gd name="adj1" fmla="val -131471"/>
            <a:gd name="adj2" fmla="val 9515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qutar la formula de suma y poner la formula de PPM's</a:t>
          </a:r>
        </a:p>
      </xdr:txBody>
    </xdr:sp>
    <xdr:clientData/>
  </xdr:twoCellAnchor>
  <xdr:twoCellAnchor>
    <xdr:from>
      <xdr:col>17</xdr:col>
      <xdr:colOff>778328</xdr:colOff>
      <xdr:row>0</xdr:row>
      <xdr:rowOff>138793</xdr:rowOff>
    </xdr:from>
    <xdr:to>
      <xdr:col>20</xdr:col>
      <xdr:colOff>274864</xdr:colOff>
      <xdr:row>2</xdr:row>
      <xdr:rowOff>397329</xdr:rowOff>
    </xdr:to>
    <xdr:sp macro="" textlink="">
      <xdr:nvSpPr>
        <xdr:cNvPr id="4" name="Rounded Rectangular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371864" y="138793"/>
          <a:ext cx="1918607" cy="666750"/>
        </a:xfrm>
        <a:prstGeom prst="wedgeRoundRectCallout">
          <a:avLst>
            <a:gd name="adj1" fmla="val -146365"/>
            <a:gd name="adj2" fmla="val 15841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un forma ordenad del</a:t>
          </a:r>
          <a:r>
            <a:rPr lang="en-US" sz="1100" baseline="0"/>
            <a:t> mayor al menor</a:t>
          </a:r>
          <a:endParaRPr lang="en-US" sz="1100"/>
        </a:p>
      </xdr:txBody>
    </xdr:sp>
    <xdr:clientData/>
  </xdr:twoCellAnchor>
  <xdr:twoCellAnchor>
    <xdr:from>
      <xdr:col>21</xdr:col>
      <xdr:colOff>672193</xdr:colOff>
      <xdr:row>0</xdr:row>
      <xdr:rowOff>127907</xdr:rowOff>
    </xdr:from>
    <xdr:to>
      <xdr:col>24</xdr:col>
      <xdr:colOff>590550</xdr:colOff>
      <xdr:row>2</xdr:row>
      <xdr:rowOff>386443</xdr:rowOff>
    </xdr:to>
    <xdr:sp macro="" textlink="">
      <xdr:nvSpPr>
        <xdr:cNvPr id="5" name="Rounded Rectangular Callou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585872" y="127907"/>
          <a:ext cx="1918607" cy="666750"/>
        </a:xfrm>
        <a:prstGeom prst="wedgeRoundRectCallout">
          <a:avLst>
            <a:gd name="adj1" fmla="val -146365"/>
            <a:gd name="adj2" fmla="val 15841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un forma ordenad del</a:t>
          </a:r>
          <a:r>
            <a:rPr lang="en-US" sz="1100" baseline="0"/>
            <a:t> mayor al menor</a:t>
          </a:r>
          <a:endParaRPr lang="en-US" sz="1100"/>
        </a:p>
      </xdr:txBody>
    </xdr:sp>
    <xdr:clientData/>
  </xdr:twoCellAnchor>
  <xdr:twoCellAnchor>
    <xdr:from>
      <xdr:col>4</xdr:col>
      <xdr:colOff>533401</xdr:colOff>
      <xdr:row>26</xdr:row>
      <xdr:rowOff>23405</xdr:rowOff>
    </xdr:from>
    <xdr:to>
      <xdr:col>6</xdr:col>
      <xdr:colOff>856162</xdr:colOff>
      <xdr:row>31</xdr:row>
      <xdr:rowOff>95249</xdr:rowOff>
    </xdr:to>
    <xdr:sp macro="" textlink="">
      <xdr:nvSpPr>
        <xdr:cNvPr id="7" name="Rounded Rectangular Callou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99115" y="5561512"/>
          <a:ext cx="1969226" cy="1037951"/>
        </a:xfrm>
        <a:prstGeom prst="wedgeRoundRectCallout">
          <a:avLst>
            <a:gd name="adj1" fmla="val -27215"/>
            <a:gd name="adj2" fmla="val -23901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CAMBIAR TITULO DE PRODUCCION</a:t>
          </a:r>
          <a:r>
            <a:rPr lang="en-US" sz="1100" baseline="0"/>
            <a:t> POR INSPECCION DE PROCESO , CAMBIAR EL FORDO  AMARILLO</a:t>
          </a:r>
          <a:endParaRPr lang="en-US" sz="1100"/>
        </a:p>
      </xdr:txBody>
    </xdr:sp>
    <xdr:clientData/>
  </xdr:twoCellAnchor>
  <xdr:twoCellAnchor>
    <xdr:from>
      <xdr:col>1</xdr:col>
      <xdr:colOff>211456</xdr:colOff>
      <xdr:row>21</xdr:row>
      <xdr:rowOff>125186</xdr:rowOff>
    </xdr:from>
    <xdr:to>
      <xdr:col>3</xdr:col>
      <xdr:colOff>505098</xdr:colOff>
      <xdr:row>24</xdr:row>
      <xdr:rowOff>91440</xdr:rowOff>
    </xdr:to>
    <xdr:sp macro="" textlink="">
      <xdr:nvSpPr>
        <xdr:cNvPr id="8" name="Rounded Rectangular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1813" y="4710793"/>
          <a:ext cx="1967321" cy="537754"/>
        </a:xfrm>
        <a:prstGeom prst="wedgeRoundRectCallout">
          <a:avLst>
            <a:gd name="adj1" fmla="val -27215"/>
            <a:gd name="adj2" fmla="val -23901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CAMBIAR EL FONDO A COLOR VERDE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38</xdr:row>
      <xdr:rowOff>123264</xdr:rowOff>
    </xdr:from>
    <xdr:to>
      <xdr:col>19</xdr:col>
      <xdr:colOff>560293</xdr:colOff>
      <xdr:row>75</xdr:row>
      <xdr:rowOff>89646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9742</xdr:colOff>
      <xdr:row>119</xdr:row>
      <xdr:rowOff>0</xdr:rowOff>
    </xdr:from>
    <xdr:to>
      <xdr:col>16</xdr:col>
      <xdr:colOff>587406</xdr:colOff>
      <xdr:row>121</xdr:row>
      <xdr:rowOff>56024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467942" y="22669500"/>
          <a:ext cx="8045264" cy="646574"/>
        </a:xfrm>
        <a:prstGeom prst="rect">
          <a:avLst/>
        </a:prstGeom>
      </xdr:spPr>
      <xdr:txBody>
        <a:bodyPr wrap="square" rtlCol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3200" b="1"/>
            <a:t>REPORTE DE CERTIFICACION  </a:t>
          </a:r>
        </a:p>
      </xdr:txBody>
    </xdr:sp>
    <xdr:clientData/>
  </xdr:twoCellAnchor>
  <xdr:twoCellAnchor>
    <xdr:from>
      <xdr:col>4</xdr:col>
      <xdr:colOff>0</xdr:colOff>
      <xdr:row>1</xdr:row>
      <xdr:rowOff>11206</xdr:rowOff>
    </xdr:from>
    <xdr:to>
      <xdr:col>19</xdr:col>
      <xdr:colOff>581661</xdr:colOff>
      <xdr:row>37</xdr:row>
      <xdr:rowOff>167070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23812</xdr:colOff>
      <xdr:row>76</xdr:row>
      <xdr:rowOff>11907</xdr:rowOff>
    </xdr:from>
    <xdr:to>
      <xdr:col>19</xdr:col>
      <xdr:colOff>500063</xdr:colOff>
      <xdr:row>115</xdr:row>
      <xdr:rowOff>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154781</xdr:colOff>
      <xdr:row>120</xdr:row>
      <xdr:rowOff>194070</xdr:rowOff>
    </xdr:from>
    <xdr:to>
      <xdr:col>13</xdr:col>
      <xdr:colOff>676751</xdr:colOff>
      <xdr:row>142</xdr:row>
      <xdr:rowOff>15716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761999</xdr:colOff>
      <xdr:row>120</xdr:row>
      <xdr:rowOff>205976</xdr:rowOff>
    </xdr:from>
    <xdr:to>
      <xdr:col>24</xdr:col>
      <xdr:colOff>440531</xdr:colOff>
      <xdr:row>141</xdr:row>
      <xdr:rowOff>170972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0.00203</cdr:x>
      <cdr:y>0.00389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893A8D9A-7998-4968-88FD-D98FC221D6C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0.00181</cdr:x>
      <cdr:y>0.00344</cdr:y>
    </cdr:to>
    <cdr:pic>
      <cdr:nvPicPr>
        <cdr:cNvPr id="10" name="chart">
          <a:extLst xmlns:a="http://schemas.openxmlformats.org/drawingml/2006/main">
            <a:ext uri="{FF2B5EF4-FFF2-40B4-BE49-F238E27FC236}">
              <a16:creationId xmlns:a16="http://schemas.microsoft.com/office/drawing/2014/main" id="{5EFF2E28-C41E-4C3F-9C22-E3D8801C543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0.00203</cdr:x>
      <cdr:y>0.00389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FB97FC3-4636-45C6-BA63-A75BF3EEB33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0.00181</cdr:x>
      <cdr:y>0.00344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741185CB-957F-4F03-9331-87EB1176EB8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0.00203</cdr:x>
      <cdr:y>0.00389</cdr:y>
    </cdr:to>
    <cdr:pic>
      <cdr:nvPicPr>
        <cdr:cNvPr id="12" name="chart">
          <a:extLst xmlns:a="http://schemas.openxmlformats.org/drawingml/2006/main">
            <a:ext uri="{FF2B5EF4-FFF2-40B4-BE49-F238E27FC236}">
              <a16:creationId xmlns:a16="http://schemas.microsoft.com/office/drawing/2014/main" id="{6A9BEA36-4B40-4734-B327-02AD30C4949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0.00181</cdr:x>
      <cdr:y>0.00344</cdr:y>
    </cdr:to>
    <cdr:pic>
      <cdr:nvPicPr>
        <cdr:cNvPr id="15" name="chart">
          <a:extLst xmlns:a="http://schemas.openxmlformats.org/drawingml/2006/main">
            <a:ext uri="{FF2B5EF4-FFF2-40B4-BE49-F238E27FC236}">
              <a16:creationId xmlns:a16="http://schemas.microsoft.com/office/drawing/2014/main" id="{608F4E96-F1BF-4227-8CEC-8C36206CDAD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0.00203</cdr:x>
      <cdr:y>0.00389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026B400D-4A3C-4B0D-BF9D-8649C182174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0.00181</cdr:x>
      <cdr:y>0.00344</cdr:y>
    </cdr:to>
    <cdr:pic>
      <cdr:nvPicPr>
        <cdr:cNvPr id="10" name="chart">
          <a:extLst xmlns:a="http://schemas.openxmlformats.org/drawingml/2006/main">
            <a:ext uri="{FF2B5EF4-FFF2-40B4-BE49-F238E27FC236}">
              <a16:creationId xmlns:a16="http://schemas.microsoft.com/office/drawing/2014/main" id="{6D3BEEA9-3916-4A92-A592-0DA7108418A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0.00203</cdr:x>
      <cdr:y>0.00389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E158B62E-4CCC-4A01-8C0D-456DC69BF17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0.00181</cdr:x>
      <cdr:y>0.00344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1EB56890-80D2-4890-BF42-362614394F3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0.00203</cdr:x>
      <cdr:y>0.00389</cdr:y>
    </cdr:to>
    <cdr:pic>
      <cdr:nvPicPr>
        <cdr:cNvPr id="12" name="chart">
          <a:extLst xmlns:a="http://schemas.openxmlformats.org/drawingml/2006/main">
            <a:ext uri="{FF2B5EF4-FFF2-40B4-BE49-F238E27FC236}">
              <a16:creationId xmlns:a16="http://schemas.microsoft.com/office/drawing/2014/main" id="{79B7E660-1B53-4CFF-8624-A0C8E126671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0.00181</cdr:x>
      <cdr:y>0.00344</cdr:y>
    </cdr:to>
    <cdr:pic>
      <cdr:nvPicPr>
        <cdr:cNvPr id="15" name="chart">
          <a:extLst xmlns:a="http://schemas.openxmlformats.org/drawingml/2006/main">
            <a:ext uri="{FF2B5EF4-FFF2-40B4-BE49-F238E27FC236}">
              <a16:creationId xmlns:a16="http://schemas.microsoft.com/office/drawing/2014/main" id="{87D7F696-9141-4850-B665-194AE250FD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653143</xdr:colOff>
      <xdr:row>16</xdr:row>
      <xdr:rowOff>81644</xdr:rowOff>
    </xdr:from>
    <xdr:to>
      <xdr:col>23</xdr:col>
      <xdr:colOff>571456</xdr:colOff>
      <xdr:row>53</xdr:row>
      <xdr:rowOff>47008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680357</xdr:colOff>
      <xdr:row>55</xdr:row>
      <xdr:rowOff>0</xdr:rowOff>
    </xdr:from>
    <xdr:to>
      <xdr:col>23</xdr:col>
      <xdr:colOff>598670</xdr:colOff>
      <xdr:row>91</xdr:row>
      <xdr:rowOff>155864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666750</xdr:colOff>
      <xdr:row>93</xdr:row>
      <xdr:rowOff>166688</xdr:rowOff>
    </xdr:from>
    <xdr:to>
      <xdr:col>23</xdr:col>
      <xdr:colOff>585063</xdr:colOff>
      <xdr:row>130</xdr:row>
      <xdr:rowOff>132052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653143</xdr:colOff>
      <xdr:row>16</xdr:row>
      <xdr:rowOff>81644</xdr:rowOff>
    </xdr:from>
    <xdr:to>
      <xdr:col>23</xdr:col>
      <xdr:colOff>571456</xdr:colOff>
      <xdr:row>53</xdr:row>
      <xdr:rowOff>47008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680357</xdr:colOff>
      <xdr:row>55</xdr:row>
      <xdr:rowOff>0</xdr:rowOff>
    </xdr:from>
    <xdr:to>
      <xdr:col>23</xdr:col>
      <xdr:colOff>598670</xdr:colOff>
      <xdr:row>91</xdr:row>
      <xdr:rowOff>155864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666750</xdr:colOff>
      <xdr:row>93</xdr:row>
      <xdr:rowOff>166688</xdr:rowOff>
    </xdr:from>
    <xdr:to>
      <xdr:col>23</xdr:col>
      <xdr:colOff>585063</xdr:colOff>
      <xdr:row>130</xdr:row>
      <xdr:rowOff>132052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176891</xdr:colOff>
      <xdr:row>7</xdr:row>
      <xdr:rowOff>108857</xdr:rowOff>
    </xdr:from>
    <xdr:to>
      <xdr:col>20</xdr:col>
      <xdr:colOff>258534</xdr:colOff>
      <xdr:row>12</xdr:row>
      <xdr:rowOff>136070</xdr:rowOff>
    </xdr:to>
    <xdr:sp macro="" textlink="">
      <xdr:nvSpPr>
        <xdr:cNvPr id="8" name="Rounded Rectangular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2545784" y="1673678"/>
          <a:ext cx="1918607" cy="979713"/>
        </a:xfrm>
        <a:prstGeom prst="wedgeRoundRectCallout">
          <a:avLst>
            <a:gd name="adj1" fmla="val -98138"/>
            <a:gd name="adj2" fmla="val 113973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MODIFICAR</a:t>
          </a:r>
          <a:r>
            <a:rPr lang="en-US" sz="1100" baseline="0"/>
            <a:t> EL TITULO DE PRODUCCION POR </a:t>
          </a:r>
          <a:r>
            <a:rPr lang="en-US" sz="1200" b="1" baseline="0"/>
            <a:t>INSPECCION PROCESO</a:t>
          </a:r>
          <a:endParaRPr lang="en-US" sz="1200" b="1"/>
        </a:p>
      </xdr:txBody>
    </xdr:sp>
    <xdr:clientData/>
  </xdr:twoCellAnchor>
  <xdr:twoCellAnchor>
    <xdr:from>
      <xdr:col>14</xdr:col>
      <xdr:colOff>136071</xdr:colOff>
      <xdr:row>16</xdr:row>
      <xdr:rowOff>0</xdr:rowOff>
    </xdr:from>
    <xdr:to>
      <xdr:col>16</xdr:col>
      <xdr:colOff>421822</xdr:colOff>
      <xdr:row>18</xdr:row>
      <xdr:rowOff>136071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668000" y="3292929"/>
          <a:ext cx="1510393" cy="51707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771728</xdr:colOff>
      <xdr:row>17</xdr:row>
      <xdr:rowOff>127295</xdr:rowOff>
    </xdr:from>
    <xdr:to>
      <xdr:col>2</xdr:col>
      <xdr:colOff>730294</xdr:colOff>
      <xdr:row>22</xdr:row>
      <xdr:rowOff>152604</xdr:rowOff>
    </xdr:to>
    <xdr:sp macro="" textlink="">
      <xdr:nvSpPr>
        <xdr:cNvPr id="10" name="Rounded Rectangular Callou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71728" y="3389608"/>
          <a:ext cx="1970722" cy="918277"/>
        </a:xfrm>
        <a:prstGeom prst="wedgeRoundRectCallout">
          <a:avLst>
            <a:gd name="adj1" fmla="val -18706"/>
            <a:gd name="adj2" fmla="val -169360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MODIFICAR</a:t>
          </a:r>
          <a:r>
            <a:rPr lang="en-US" sz="1100" baseline="0"/>
            <a:t> EL TUITULO DE PRODUCCION POR INSPECCION PROCESO Y CAMBIA FONDO COLOR AMARILLO</a:t>
          </a:r>
          <a:endParaRPr lang="en-US" sz="1100"/>
        </a:p>
      </xdr:txBody>
    </xdr:sp>
    <xdr:clientData/>
  </xdr:twoCellAnchor>
  <xdr:twoCellAnchor>
    <xdr:from>
      <xdr:col>4</xdr:col>
      <xdr:colOff>197439</xdr:colOff>
      <xdr:row>15</xdr:row>
      <xdr:rowOff>120900</xdr:rowOff>
    </xdr:from>
    <xdr:to>
      <xdr:col>6</xdr:col>
      <xdr:colOff>488904</xdr:colOff>
      <xdr:row>18</xdr:row>
      <xdr:rowOff>31909</xdr:rowOff>
    </xdr:to>
    <xdr:sp macro="" textlink="">
      <xdr:nvSpPr>
        <xdr:cNvPr id="11" name="Rounded Rectangular Callou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900283" y="3026025"/>
          <a:ext cx="1982152" cy="446790"/>
        </a:xfrm>
        <a:prstGeom prst="wedgeRoundRectCallout">
          <a:avLst>
            <a:gd name="adj1" fmla="val -10905"/>
            <a:gd name="adj2" fmla="val -236776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MODIFICAR EL FONDO A NARAJA </a:t>
          </a:r>
        </a:p>
      </xdr:txBody>
    </xdr:sp>
    <xdr:clientData/>
  </xdr:twoCellAnchor>
  <xdr:twoCellAnchor>
    <xdr:from>
      <xdr:col>17</xdr:col>
      <xdr:colOff>2719</xdr:colOff>
      <xdr:row>45</xdr:row>
      <xdr:rowOff>179614</xdr:rowOff>
    </xdr:from>
    <xdr:to>
      <xdr:col>19</xdr:col>
      <xdr:colOff>462643</xdr:colOff>
      <xdr:row>51</xdr:row>
      <xdr:rowOff>16327</xdr:rowOff>
    </xdr:to>
    <xdr:sp macro="" textlink="">
      <xdr:nvSpPr>
        <xdr:cNvPr id="12" name="Rounded Rectangular Callou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2371612" y="8997043"/>
          <a:ext cx="1684567" cy="979713"/>
        </a:xfrm>
        <a:prstGeom prst="wedgeRoundRectCallout">
          <a:avLst>
            <a:gd name="adj1" fmla="val -98138"/>
            <a:gd name="adj2" fmla="val 113973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MODIFICAR</a:t>
          </a:r>
          <a:r>
            <a:rPr lang="en-US" sz="1100" baseline="0"/>
            <a:t> EL TITULO DE CALIDAD POR </a:t>
          </a:r>
          <a:r>
            <a:rPr lang="en-US" sz="1200" b="1" baseline="0"/>
            <a:t>CERTIFICACION</a:t>
          </a:r>
          <a:endParaRPr lang="en-US" sz="1200" b="1"/>
        </a:p>
      </xdr:txBody>
    </xdr:sp>
    <xdr:clientData/>
  </xdr:twoCellAnchor>
  <xdr:twoCellAnchor>
    <xdr:from>
      <xdr:col>13</xdr:col>
      <xdr:colOff>574221</xdr:colOff>
      <xdr:row>54</xdr:row>
      <xdr:rowOff>84365</xdr:rowOff>
    </xdr:from>
    <xdr:to>
      <xdr:col>16</xdr:col>
      <xdr:colOff>247650</xdr:colOff>
      <xdr:row>57</xdr:row>
      <xdr:rowOff>29936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493828" y="10616294"/>
          <a:ext cx="1510393" cy="51707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427262</xdr:colOff>
      <xdr:row>85</xdr:row>
      <xdr:rowOff>155121</xdr:rowOff>
    </xdr:from>
    <xdr:to>
      <xdr:col>21</xdr:col>
      <xdr:colOff>274864</xdr:colOff>
      <xdr:row>90</xdr:row>
      <xdr:rowOff>182334</xdr:rowOff>
    </xdr:to>
    <xdr:sp macro="" textlink="">
      <xdr:nvSpPr>
        <xdr:cNvPr id="14" name="Rounded Rectangular Callou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3408476" y="16592550"/>
          <a:ext cx="1684567" cy="979713"/>
        </a:xfrm>
        <a:prstGeom prst="wedgeRoundRectCallout">
          <a:avLst>
            <a:gd name="adj1" fmla="val -98138"/>
            <a:gd name="adj2" fmla="val 113973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MODIFICAR</a:t>
          </a:r>
          <a:r>
            <a:rPr lang="en-US" sz="1100" baseline="0"/>
            <a:t> EL TITULO  COMO ESTA MARCADO EN AMARILLO</a:t>
          </a:r>
          <a:endParaRPr lang="en-US" sz="12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242</xdr:row>
      <xdr:rowOff>38100</xdr:rowOff>
    </xdr:from>
    <xdr:to>
      <xdr:col>9</xdr:col>
      <xdr:colOff>0</xdr:colOff>
      <xdr:row>276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206</xdr:row>
      <xdr:rowOff>27215</xdr:rowOff>
    </xdr:from>
    <xdr:to>
      <xdr:col>10</xdr:col>
      <xdr:colOff>0</xdr:colOff>
      <xdr:row>242</xdr:row>
      <xdr:rowOff>13607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235402</xdr:rowOff>
    </xdr:from>
    <xdr:to>
      <xdr:col>14</xdr:col>
      <xdr:colOff>598715</xdr:colOff>
      <xdr:row>28</xdr:row>
      <xdr:rowOff>217715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598230</xdr:colOff>
      <xdr:row>6</xdr:row>
      <xdr:rowOff>13608</xdr:rowOff>
    </xdr:from>
    <xdr:to>
      <xdr:col>25</xdr:col>
      <xdr:colOff>13606</xdr:colOff>
      <xdr:row>28</xdr:row>
      <xdr:rowOff>136072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689821</xdr:colOff>
      <xdr:row>0</xdr:row>
      <xdr:rowOff>0</xdr:rowOff>
    </xdr:from>
    <xdr:to>
      <xdr:col>8</xdr:col>
      <xdr:colOff>109555</xdr:colOff>
      <xdr:row>2</xdr:row>
      <xdr:rowOff>230928</xdr:rowOff>
    </xdr:to>
    <xdr:sp macro="" textlink="">
      <xdr:nvSpPr>
        <xdr:cNvPr id="2" name="Rounded Rectangular Callou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266988" y="0"/>
          <a:ext cx="2425400" cy="611928"/>
        </a:xfrm>
        <a:prstGeom prst="wedgeRoundRectCallout">
          <a:avLst>
            <a:gd name="adj1" fmla="val -12067"/>
            <a:gd name="adj2" fmla="val -129083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AGREGAR EL TERCER TURNO</a:t>
          </a:r>
          <a:endParaRPr lang="en-US" sz="1200" b="1"/>
        </a:p>
      </xdr:txBody>
    </xdr:sp>
    <xdr:clientData/>
  </xdr:twoCellAnchor>
  <xdr:twoCellAnchor>
    <xdr:from>
      <xdr:col>14</xdr:col>
      <xdr:colOff>590126</xdr:colOff>
      <xdr:row>24</xdr:row>
      <xdr:rowOff>63924</xdr:rowOff>
    </xdr:from>
    <xdr:to>
      <xdr:col>17</xdr:col>
      <xdr:colOff>106167</xdr:colOff>
      <xdr:row>27</xdr:row>
      <xdr:rowOff>148591</xdr:rowOff>
    </xdr:to>
    <xdr:sp macro="" textlink="">
      <xdr:nvSpPr>
        <xdr:cNvPr id="3" name="Rounded Rectangular Callou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1565043" y="4868757"/>
          <a:ext cx="1706791" cy="624417"/>
        </a:xfrm>
        <a:prstGeom prst="wedgeRoundRectCallout">
          <a:avLst>
            <a:gd name="adj1" fmla="val -12067"/>
            <a:gd name="adj2" fmla="val -129083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AGREGAR EL TERCER TURNO</a:t>
          </a:r>
          <a:endParaRPr lang="en-US" sz="1200" b="1"/>
        </a:p>
      </xdr:txBody>
    </xdr:sp>
    <xdr:clientData/>
  </xdr:twoCellAnchor>
  <xdr:twoCellAnchor>
    <xdr:from>
      <xdr:col>20</xdr:col>
      <xdr:colOff>802217</xdr:colOff>
      <xdr:row>0</xdr:row>
      <xdr:rowOff>1</xdr:rowOff>
    </xdr:from>
    <xdr:to>
      <xdr:col>24</xdr:col>
      <xdr:colOff>105833</xdr:colOff>
      <xdr:row>2</xdr:row>
      <xdr:rowOff>84666</xdr:rowOff>
    </xdr:to>
    <xdr:sp macro="" textlink="">
      <xdr:nvSpPr>
        <xdr:cNvPr id="4" name="Rounded Rectangular Callou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878050" y="1"/>
          <a:ext cx="2330450" cy="486832"/>
        </a:xfrm>
        <a:prstGeom prst="wedgeRoundRectCallout">
          <a:avLst>
            <a:gd name="adj1" fmla="val 8781"/>
            <a:gd name="adj2" fmla="val 117941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AGREGAR EL TITULO DE LA COLUMNA</a:t>
          </a:r>
          <a:endParaRPr lang="en-US" sz="1200" b="1"/>
        </a:p>
      </xdr:txBody>
    </xdr:sp>
    <xdr:clientData/>
  </xdr:twoCellAnchor>
  <xdr:twoCellAnchor>
    <xdr:from>
      <xdr:col>24</xdr:col>
      <xdr:colOff>340782</xdr:colOff>
      <xdr:row>0</xdr:row>
      <xdr:rowOff>0</xdr:rowOff>
    </xdr:from>
    <xdr:to>
      <xdr:col>28</xdr:col>
      <xdr:colOff>338665</xdr:colOff>
      <xdr:row>2</xdr:row>
      <xdr:rowOff>84665</xdr:rowOff>
    </xdr:to>
    <xdr:sp macro="" textlink="">
      <xdr:nvSpPr>
        <xdr:cNvPr id="5" name="Rounded Rectangular Callou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443449" y="0"/>
          <a:ext cx="2918883" cy="486832"/>
        </a:xfrm>
        <a:prstGeom prst="wedgeRoundRectCallout">
          <a:avLst>
            <a:gd name="adj1" fmla="val -16731"/>
            <a:gd name="adj2" fmla="val 252724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PORQUE ESTA EN DIFERENTES COLUMNAS LOS</a:t>
          </a:r>
          <a:r>
            <a:rPr lang="en-US" sz="1100" baseline="0"/>
            <a:t> </a:t>
          </a:r>
          <a:r>
            <a:rPr lang="en-US" sz="1100"/>
            <a:t>DEFECTOS</a:t>
          </a:r>
          <a:r>
            <a:rPr lang="en-US" sz="1100" baseline="0"/>
            <a:t> DE CLAUDIA</a:t>
          </a:r>
          <a:endParaRPr lang="en-US" sz="1200" b="1"/>
        </a:p>
      </xdr:txBody>
    </xdr:sp>
    <xdr:clientData/>
  </xdr:twoCellAnchor>
  <xdr:twoCellAnchor>
    <xdr:from>
      <xdr:col>11</xdr:col>
      <xdr:colOff>660398</xdr:colOff>
      <xdr:row>106</xdr:row>
      <xdr:rowOff>152400</xdr:rowOff>
    </xdr:from>
    <xdr:to>
      <xdr:col>13</xdr:col>
      <xdr:colOff>228299</xdr:colOff>
      <xdr:row>110</xdr:row>
      <xdr:rowOff>46567</xdr:rowOff>
    </xdr:to>
    <xdr:sp macro="" textlink="">
      <xdr:nvSpPr>
        <xdr:cNvPr id="6" name="Rounded Rectangular Callou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825315" y="20906317"/>
          <a:ext cx="1684567" cy="656167"/>
        </a:xfrm>
        <a:prstGeom prst="wedgeRoundRectCallout">
          <a:avLst>
            <a:gd name="adj1" fmla="val -137717"/>
            <a:gd name="adj2" fmla="val -135535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FALTA DE ESPACIO , BORRA LOS TOTALES</a:t>
          </a:r>
          <a:endParaRPr lang="en-US" sz="1200" b="1"/>
        </a:p>
      </xdr:txBody>
    </xdr:sp>
    <xdr:clientData/>
  </xdr:twoCellAnchor>
  <xdr:twoCellAnchor>
    <xdr:from>
      <xdr:col>14</xdr:col>
      <xdr:colOff>50799</xdr:colOff>
      <xdr:row>107</xdr:row>
      <xdr:rowOff>93133</xdr:rowOff>
    </xdr:from>
    <xdr:to>
      <xdr:col>17</xdr:col>
      <xdr:colOff>148167</xdr:colOff>
      <xdr:row>112</xdr:row>
      <xdr:rowOff>52916</xdr:rowOff>
    </xdr:to>
    <xdr:sp macro="" textlink="">
      <xdr:nvSpPr>
        <xdr:cNvPr id="7" name="Rounded Rectangular Callou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0009716" y="21090466"/>
          <a:ext cx="2235201" cy="912283"/>
        </a:xfrm>
        <a:prstGeom prst="wedgeRoundRectCallout">
          <a:avLst>
            <a:gd name="adj1" fmla="val -40647"/>
            <a:gd name="adj2" fmla="val -160691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QUITAR LA</a:t>
          </a:r>
          <a:r>
            <a:rPr lang="en-US" sz="1100" baseline="0"/>
            <a:t> SUMA PPMS Y PONER FORMULA DE PPMS , AGREGANDO LA SUMA TOTAL PIEZAS REVISADAS</a:t>
          </a:r>
          <a:endParaRPr lang="en-US" sz="1200" b="1"/>
        </a:p>
      </xdr:txBody>
    </xdr:sp>
    <xdr:clientData/>
  </xdr:twoCellAnchor>
  <xdr:twoCellAnchor editAs="oneCell">
    <xdr:from>
      <xdr:col>14</xdr:col>
      <xdr:colOff>402167</xdr:colOff>
      <xdr:row>112</xdr:row>
      <xdr:rowOff>1</xdr:rowOff>
    </xdr:from>
    <xdr:to>
      <xdr:col>16</xdr:col>
      <xdr:colOff>1279750</xdr:colOff>
      <xdr:row>114</xdr:row>
      <xdr:rowOff>19000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1084" y="21949834"/>
          <a:ext cx="1590476" cy="409524"/>
        </a:xfrm>
        <a:prstGeom prst="rect">
          <a:avLst/>
        </a:prstGeom>
      </xdr:spPr>
    </xdr:pic>
    <xdr:clientData/>
  </xdr:twoCellAnchor>
  <xdr:twoCellAnchor>
    <xdr:from>
      <xdr:col>19</xdr:col>
      <xdr:colOff>55032</xdr:colOff>
      <xdr:row>107</xdr:row>
      <xdr:rowOff>2117</xdr:rowOff>
    </xdr:from>
    <xdr:to>
      <xdr:col>21</xdr:col>
      <xdr:colOff>131233</xdr:colOff>
      <xdr:row>111</xdr:row>
      <xdr:rowOff>152400</xdr:rowOff>
    </xdr:to>
    <xdr:sp macro="" textlink="">
      <xdr:nvSpPr>
        <xdr:cNvPr id="9" name="Rounded Rectangular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3506449" y="20999450"/>
          <a:ext cx="2235201" cy="912283"/>
        </a:xfrm>
        <a:prstGeom prst="wedgeRoundRectCallout">
          <a:avLst>
            <a:gd name="adj1" fmla="val -40647"/>
            <a:gd name="adj2" fmla="val -160691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QUITAR LA</a:t>
          </a:r>
          <a:r>
            <a:rPr lang="en-US" sz="1100" baseline="0"/>
            <a:t> SUMA PPMS Y PONER FORMULA DE PPMS , AGREGANDO LA SUMA TOTAL PIEZAS REVISADAS</a:t>
          </a:r>
          <a:endParaRPr lang="en-US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734784</xdr:colOff>
      <xdr:row>2</xdr:row>
      <xdr:rowOff>16327</xdr:rowOff>
    </xdr:from>
    <xdr:to>
      <xdr:col>27</xdr:col>
      <xdr:colOff>734786</xdr:colOff>
      <xdr:row>38</xdr:row>
      <xdr:rowOff>176892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</xdr:colOff>
      <xdr:row>2</xdr:row>
      <xdr:rowOff>23811</xdr:rowOff>
    </xdr:from>
    <xdr:to>
      <xdr:col>11</xdr:col>
      <xdr:colOff>761999</xdr:colOff>
      <xdr:row>38</xdr:row>
      <xdr:rowOff>176892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9525</xdr:colOff>
      <xdr:row>2</xdr:row>
      <xdr:rowOff>11564</xdr:rowOff>
    </xdr:from>
    <xdr:to>
      <xdr:col>19</xdr:col>
      <xdr:colOff>723900</xdr:colOff>
      <xdr:row>39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27215</xdr:colOff>
      <xdr:row>2</xdr:row>
      <xdr:rowOff>149678</xdr:rowOff>
    </xdr:from>
    <xdr:to>
      <xdr:col>16</xdr:col>
      <xdr:colOff>364188</xdr:colOff>
      <xdr:row>5</xdr:row>
      <xdr:rowOff>149834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007929" y="789214"/>
          <a:ext cx="6432973" cy="57165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800" b="1">
              <a:solidFill>
                <a:srgbClr val="FF0000"/>
              </a:solidFill>
            </a:rPr>
            <a:t>CALIDAD</a:t>
          </a:r>
          <a:r>
            <a:rPr lang="en-US" sz="2800" b="1" baseline="0">
              <a:solidFill>
                <a:srgbClr val="FF0000"/>
              </a:solidFill>
            </a:rPr>
            <a:t> PPM'S MENSUAL</a:t>
          </a:r>
          <a:endParaRPr lang="en-US" sz="28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755194</xdr:colOff>
      <xdr:row>2</xdr:row>
      <xdr:rowOff>2720</xdr:rowOff>
    </xdr:from>
    <xdr:to>
      <xdr:col>35</xdr:col>
      <xdr:colOff>761999</xdr:colOff>
      <xdr:row>39</xdr:row>
      <xdr:rowOff>-1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576603</xdr:colOff>
      <xdr:row>3</xdr:row>
      <xdr:rowOff>34016</xdr:rowOff>
    </xdr:from>
    <xdr:to>
      <xdr:col>31</xdr:col>
      <xdr:colOff>88450</xdr:colOff>
      <xdr:row>6</xdr:row>
      <xdr:rowOff>34172</xdr:rowOff>
    </xdr:to>
    <xdr:sp macro="" textlink="">
      <xdr:nvSpPr>
        <xdr:cNvPr id="6" name="TextBox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3259710" y="864052"/>
          <a:ext cx="4845847" cy="57165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800" b="1">
              <a:solidFill>
                <a:srgbClr val="FF0000"/>
              </a:solidFill>
            </a:rPr>
            <a:t>CALIDAD</a:t>
          </a:r>
          <a:r>
            <a:rPr lang="en-US" sz="2800" b="1" baseline="0">
              <a:solidFill>
                <a:srgbClr val="FF0000"/>
              </a:solidFill>
            </a:rPr>
            <a:t> PPM'S DIARIO</a:t>
          </a:r>
          <a:endParaRPr lang="en-US" sz="2800" b="1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530678</xdr:colOff>
      <xdr:row>41</xdr:row>
      <xdr:rowOff>172012</xdr:rowOff>
    </xdr:from>
    <xdr:to>
      <xdr:col>16</xdr:col>
      <xdr:colOff>246281</xdr:colOff>
      <xdr:row>78</xdr:row>
      <xdr:rowOff>122463</xdr:rowOff>
    </xdr:to>
    <xdr:graphicFrame macro="">
      <xdr:nvGraphicFramePr>
        <xdr:cNvPr id="9" name="Chart 2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421822</xdr:colOff>
      <xdr:row>41</xdr:row>
      <xdr:rowOff>176893</xdr:rowOff>
    </xdr:from>
    <xdr:to>
      <xdr:col>27</xdr:col>
      <xdr:colOff>137424</xdr:colOff>
      <xdr:row>78</xdr:row>
      <xdr:rowOff>127344</xdr:rowOff>
    </xdr:to>
    <xdr:graphicFrame macro="">
      <xdr:nvGraphicFramePr>
        <xdr:cNvPr id="10" name="Chart 2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8</xdr:col>
      <xdr:colOff>217715</xdr:colOff>
      <xdr:row>45</xdr:row>
      <xdr:rowOff>40822</xdr:rowOff>
    </xdr:from>
    <xdr:ext cx="799258" cy="280205"/>
    <xdr:sp macro="" textlink="">
      <xdr:nvSpPr>
        <xdr:cNvPr id="11" name="TextBox 2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10380890" y="9127672"/>
          <a:ext cx="799258" cy="28020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200">
              <a:solidFill>
                <a:schemeClr val="accent2">
                  <a:lumMod val="75000"/>
                </a:schemeClr>
              </a:solidFill>
            </a:rPr>
            <a:t>1er Turno</a:t>
          </a:r>
        </a:p>
      </xdr:txBody>
    </xdr:sp>
    <xdr:clientData/>
  </xdr:oneCellAnchor>
  <xdr:oneCellAnchor>
    <xdr:from>
      <xdr:col>19</xdr:col>
      <xdr:colOff>70758</xdr:colOff>
      <xdr:row>45</xdr:row>
      <xdr:rowOff>57150</xdr:rowOff>
    </xdr:from>
    <xdr:ext cx="799258" cy="280205"/>
    <xdr:sp macro="" textlink="">
      <xdr:nvSpPr>
        <xdr:cNvPr id="12" name="TextBox 2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16939533" y="9144000"/>
          <a:ext cx="799258" cy="28020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200">
              <a:solidFill>
                <a:schemeClr val="accent2">
                  <a:lumMod val="75000"/>
                </a:schemeClr>
              </a:solidFill>
            </a:rPr>
            <a:t>1er Turno</a:t>
          </a:r>
        </a:p>
      </xdr:txBody>
    </xdr:sp>
    <xdr:clientData/>
  </xdr:oneCellAnchor>
  <xdr:oneCellAnchor>
    <xdr:from>
      <xdr:col>13</xdr:col>
      <xdr:colOff>155123</xdr:colOff>
      <xdr:row>45</xdr:row>
      <xdr:rowOff>32657</xdr:rowOff>
    </xdr:from>
    <xdr:ext cx="831061" cy="280205"/>
    <xdr:sp macro="" textlink="">
      <xdr:nvSpPr>
        <xdr:cNvPr id="13" name="TextBox 2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13366298" y="9119507"/>
          <a:ext cx="831061" cy="28020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200">
              <a:solidFill>
                <a:schemeClr val="accent2">
                  <a:lumMod val="75000"/>
                </a:schemeClr>
              </a:solidFill>
            </a:rPr>
            <a:t>2do Turno</a:t>
          </a:r>
        </a:p>
      </xdr:txBody>
    </xdr:sp>
    <xdr:clientData/>
  </xdr:oneCellAnchor>
  <xdr:oneCellAnchor>
    <xdr:from>
      <xdr:col>23</xdr:col>
      <xdr:colOff>552451</xdr:colOff>
      <xdr:row>45</xdr:row>
      <xdr:rowOff>21771</xdr:rowOff>
    </xdr:from>
    <xdr:ext cx="831061" cy="280205"/>
    <xdr:sp macro="" textlink="">
      <xdr:nvSpPr>
        <xdr:cNvPr id="14" name="TextBox 26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19859626" y="9108621"/>
          <a:ext cx="831061" cy="28020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200">
              <a:solidFill>
                <a:schemeClr val="accent2">
                  <a:lumMod val="75000"/>
                </a:schemeClr>
              </a:solidFill>
            </a:rPr>
            <a:t>2do</a:t>
          </a:r>
          <a:r>
            <a:rPr lang="en-US" sz="1200" baseline="0">
              <a:solidFill>
                <a:schemeClr val="accent2">
                  <a:lumMod val="75000"/>
                </a:schemeClr>
              </a:solidFill>
            </a:rPr>
            <a:t> </a:t>
          </a:r>
          <a:r>
            <a:rPr lang="en-US" sz="1200">
              <a:solidFill>
                <a:schemeClr val="accent2">
                  <a:lumMod val="75000"/>
                </a:schemeClr>
              </a:solidFill>
            </a:rPr>
            <a:t>Turno</a:t>
          </a:r>
        </a:p>
      </xdr:txBody>
    </xdr:sp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0.03079</cdr:x>
      <cdr:y>0</cdr:y>
    </cdr:from>
    <cdr:to>
      <cdr:x>1</cdr:x>
      <cdr:y>0.08789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3765" y="0"/>
          <a:ext cx="4684058" cy="4719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2800" b="1">
              <a:solidFill>
                <a:srgbClr val="FF0000"/>
              </a:solidFill>
            </a:rPr>
            <a:t>PPM'S por Inspector Diario</a:t>
          </a:r>
          <a:endParaRPr lang="en-US" sz="2800" b="1" baseline="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0.14976</cdr:x>
      <cdr:y>0.74726</cdr:y>
    </cdr:from>
    <cdr:to>
      <cdr:x>0.2915</cdr:x>
      <cdr:y>0.87791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66107" y="523002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0.03079</cdr:x>
      <cdr:y>0</cdr:y>
    </cdr:from>
    <cdr:to>
      <cdr:x>1</cdr:x>
      <cdr:y>0.08789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3765" y="0"/>
          <a:ext cx="4684058" cy="4719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2800" b="1">
              <a:solidFill>
                <a:srgbClr val="FF0000"/>
              </a:solidFill>
            </a:rPr>
            <a:t>PPM'S por Inspector Mensual</a:t>
          </a:r>
        </a:p>
        <a:p xmlns:a="http://schemas.openxmlformats.org/drawingml/2006/main">
          <a:pPr algn="ctr"/>
          <a:endParaRPr lang="en-US" sz="2800" b="1" baseline="0">
            <a:solidFill>
              <a:srgbClr val="FF0000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Cruz" refreshedDate="44460.560108449077" createdVersion="6" refreshedVersion="6" minRefreshableVersion="3" recordCount="97" xr:uid="{00000000-000A-0000-FFFF-FFFF10000000}">
  <cacheSource type="worksheet">
    <worksheetSource ref="L3:O100" sheet="PPMSQC"/>
  </cacheSource>
  <cacheFields count="5">
    <cacheField name="Inspector" numFmtId="0">
      <sharedItems containsBlank="1" count="104">
        <s v="AMAYRANI JOSELYN SCHIAFFINI SOSA"/>
        <s v="YASSURI DIANELA ALVAREZ CANO"/>
        <s v="ROBERTO CARLOS MARTINEZ GONZALEZ"/>
        <s v="MARIBEL JOSE PEREZ"/>
        <s v="CLAUDIA OLIVERA MONTOR"/>
        <s v="TITO JONAN JIMENEZ HERNANDEZ"/>
        <s v="NICACIO CASTILLEJOS ANTONIO"/>
        <s v="CELIN ADOLFO ARREOLA PEREZ"/>
        <s v="ZAHIREL DEL CARMEN JIMENEZ DOMINGUEZ"/>
        <s v="REYES JOAQUIN FLORES"/>
        <s v="JHOANA ITZEL HERNANDEZ GALINDO"/>
        <s v="NANCY LOPEZ TAPIA"/>
        <s v="MICHEL ALEJANDRA ZAMORA LOPEZ"/>
        <s v="ARY LAZARO LOPEZ"/>
        <s v="FELICITAS FELIX ANAYA"/>
        <s v="FERNANDO RAMIREZ OLIVARES"/>
        <s v="NANCY JAZMIN SILVA GARCIA"/>
        <s v="JUAN CARLOS LOPEZ SANTIAGO"/>
        <s v="EMILY MENDOZA CIGARROA"/>
        <s v="MARIELA CORONA DELGADO"/>
        <s v="MELQUIADES CALIXTO MENDEZ"/>
        <s v="DIANA LIZET MENDEZ ANTONIO"/>
        <s v="SANTA MARGARITA VALADEZ GARCIA"/>
        <s v="ABEL DE JESUS TENCO CAPISTRAN"/>
        <s v="RAFAEL JERONIMO REYES"/>
        <s v="YENNI PERLA PARRA CASTRO"/>
        <s v="JOSE ALEXIS ESTEBAN AVILA"/>
        <s v="ALMA CONSTANTINA BORJA MARTINEZ"/>
        <s v="ERIK MARIN MARTINEZ GONZALEZ"/>
        <s v="ISABEL REYES RUIZ"/>
        <s v="CAROLINA FRANCISCO HERNANDEZ"/>
        <s v="GABRIEL HERNANDEZ GARCIA"/>
        <s v="RUBEN SANTANA CRISTOBAL"/>
        <s v="ANDRES DE JESUS PEREZ DIAZ"/>
        <s v="VELIA ENRIQUETA LANDEROS RODRIGUEZ"/>
        <s v="IRMA NATALIA FLORES LOPEZ"/>
        <s v="ANAYELI HERNANDEZ LAZARO"/>
        <s v="LUIS ALBERTO GREGORIO CARRERA"/>
        <s v="BLANCA FLOR GARCIA RUBINOS"/>
        <s v="EVARISTO FRANCISCO CARMONA"/>
        <s v="NORMA MARTINEZ CRUZ"/>
        <s v="PERLA ITALY MENDOZA ARENAS"/>
        <s v="AZUCENA CONCEPCION ESPINOSA VICTORIANO"/>
        <s v="ADOLFO ANGEL SANTIAGO RAMOS"/>
        <s v="GISELA JOHANA BOLANOS RAMOS"/>
        <s v="LUIS ALBERTO HERNANDEZ HERNANDEZ"/>
        <s v="ELIZABETH MENESES MIGUEL"/>
        <s v="GUILLERMO SANTANA QUINTERO"/>
        <s v="LUIS GUSTAVO MERIDA SANCHEZ"/>
        <s v="ALFREDO CISNEROS UTRERA"/>
        <s v="JESSICA IVONNE BERUMEN LOPEZ"/>
        <s v="JORGE IVAN JARAMILLO TAPIA"/>
        <s v="ANA LAURA LOPEZ HILARIO"/>
        <s v="ROXANA EDITH LARA AMADOR"/>
        <s v="DAMARIS MARILU HERNANDEZ VILLATORO"/>
        <s v="JORGE ALBERTO GONZALEZ PEREZ"/>
        <s v="NAYELI HERNANDEZ HERNANDEZ"/>
        <s v="LORENZO FLORES VILLA"/>
        <s v="LUIS ALFREDO MARIANO JOAQUIN"/>
        <s v="FLAVIO OJEDA OROSIO"/>
        <s v="LUIS ENRIQUE AVALOS FERNANDEZ"/>
        <s v="ADRIANA LUCILA SOTO REYES"/>
        <s v="LUIS EDUARDO PEREZ TREVINO"/>
        <m/>
        <s v="GILBERTO ARCE TEHUAXTLE" u="1"/>
        <s v="ORALIA BARTOLO HERNANDEZ" u="1"/>
        <s v="PEDRO MISAEL SANCHEZ REYES" u="1"/>
        <s v="EUSTOLIO ROBLERO DIAZ" u="1"/>
        <s v="MARIA HERNANDEZ DUARTE" u="1"/>
        <s v="JOSE ALFONSO MONROY GAONA" u="1"/>
        <s v="LUIS ANGEL CARDONA DE LA ROSA" u="1"/>
        <s v="LILIA CORTES OROPEZA" u="1"/>
        <s v="ffdgfg" u="1"/>
        <s v="JORGE ALBERTO ACUA ACUA" u="1"/>
        <s v="EDUARDO GONZALO PERALTA GARCIA" u="1"/>
        <s v="ALEJANDRA JUDITH BALDERAS MENDOZA" u="1"/>
        <s v="EDUARDO LOPEZ MARTINEZ" u="1"/>
        <s v="REYNA ISABEL PEREZ RIVERA" u="1"/>
        <s v="ANELZY MORALES MORALES" u="1"/>
        <s v="ss" u="1"/>
        <s v="JUAN JOSE GARCIA GOMEZ" u="1"/>
        <s v="MARICELA GUERRERO RODRIGUEZ" u="1"/>
        <s v="MARIA DEL ROSARIO DURAN CHAVEZ" u="1"/>
        <s v="BRENDA SANTIAGO GONZALEZ" u="1"/>
        <s v="LEYDI KARINA FLORES HERNANDEZ" u="1"/>
        <s v="ELIEL ALDECO MARTINEZ" u="1"/>
        <s v="JOHANA ESMERALDA ORTIZ SANCHEZ" u="1"/>
        <s v="YADIRA PULGARIN SAUCEDO" u="1"/>
        <s v="sfdf" u="1"/>
        <s v="RICARDO RODRIGUEZ BERNAL" u="1"/>
        <s v="XIOMARA SARAHI PULGARIN SAUCEDO" u="1"/>
        <s v="JOEL DANIEL DESIDERIO VELAZQUEZ" u="1"/>
        <s v="FREDY GARCIA CALIHUA" u="1"/>
        <s v="ABNER MONTEJO DOMINGUEZ" u="1"/>
        <s v="as" u="1"/>
        <s v="JOSE LUIS QUEZADA MARTINEZ" u="1"/>
        <s v="fgdfs" u="1"/>
        <s v="ALEXIS GARCIA SOTO" u="1"/>
        <s v="ADAN MARTINEZ ELICERIO" u="1"/>
        <s v="TOMAS BALCAZAR GONZALEZ" u="1"/>
        <s v="ALMA ESTHELA ZUÑIGA HURTADO" u="1"/>
        <s v="MAURICIO PACHECO MORENO" u="1"/>
        <s v="LUIS FERNANDO PASCUAL CERVANTES" u="1"/>
        <s v="ANA BERENICE ALBA SOSA" u="1"/>
      </sharedItems>
    </cacheField>
    <cacheField name="Piezas revisadas" numFmtId="0">
      <sharedItems containsString="0" containsBlank="1" containsNumber="1" containsInteger="1" minValue="30" maxValue="3135"/>
    </cacheField>
    <cacheField name="Defectos" numFmtId="0">
      <sharedItems containsString="0" containsBlank="1" containsNumber="1" containsInteger="1" minValue="0" maxValue="5"/>
    </cacheField>
    <cacheField name="PPM'S" numFmtId="0">
      <sharedItems containsString="0" containsBlank="1" containsNumber="1" containsInteger="1" minValue="0" maxValue="9523"/>
    </cacheField>
    <cacheField name="meta" numFmtId="0" formula=" 6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Cruz" refreshedDate="44460.560109259262" createdVersion="6" refreshedVersion="6" minRefreshableVersion="3" recordCount="97" xr:uid="{00000000-000A-0000-FFFF-FFFF11000000}">
  <cacheSource type="worksheet">
    <worksheetSource ref="G3:J100" sheet="PPMSQC"/>
  </cacheSource>
  <cacheFields count="5">
    <cacheField name="Inspector" numFmtId="0">
      <sharedItems containsBlank="1" count="139">
        <s v="ADONIRAM BALCAZAR VIDANA"/>
        <s v="FILEMON MARTINEZ FELIPE"/>
        <s v="ALBINO ANTONIO PEREZ"/>
        <s v="RICARDO JAHIR AVILA CONTRERAS"/>
        <s v="BRENDA YANETH MORA CARRILLO"/>
        <s v="NANCY GARCIA PEREZ"/>
        <s v="IVETH MERARID AGUILAR BARRIENTOS"/>
        <s v="GUADALUPE ROMERO CABRERA"/>
        <s v="RAFAEL BALCAZAR VIDANA"/>
        <s v="CORNELIO DE LEON SALAS"/>
        <s v="HECTOR MANUEL BORJA MARTINEZ"/>
        <s v="JAZMIN PARRAL GARCIA"/>
        <s v="GLADYS DEL CARMEN MARTINEZ PATRACA"/>
        <s v="ESMERALDA RESENDIZ RAMOS"/>
        <s v="GUADALUPE ABRIS LUNA"/>
        <s v="LUIS EDUARDO FELIPE CRUZ"/>
        <s v="JAVIER CEHUALATL AGUILAR"/>
        <s v="OSVALDO CATALINO VICENTE"/>
        <s v="ERIKA ILEANA ESPINOZA RIVERA"/>
        <s v="ANGEL JAVIER TORRES RAMIREZ"/>
        <s v="FLOR NATALY GOMEZ GALAN"/>
        <s v="SILVIA IVONNE GARCIA MIRELES"/>
        <s v="PALOMA GABRIELA REYES GARCIA"/>
        <s v="MARVIN RAMON CASANOVA VELEZ"/>
        <s v="ADRIAN CALDERON MORENO"/>
        <s v="LAURA LOPEZ LOPEZ"/>
        <s v="NATIVIDAD MAGIN SOSOL"/>
        <s v="FREDY REYES URIBE"/>
        <s v="LUZ ADRIANA GUEVARA MERAZ"/>
        <s v="LAURA SOTO DIAZ"/>
        <s v="DANNA CITLALLI SILVA VILLA"/>
        <s v="ORLANDO HERNANDEZ BAUTISTA"/>
        <s v="CLARISA VIRIDIANA VAZQUEZ HERNANDEZ"/>
        <s v="EDGAR MANUEL ALMANZA CARRILLO"/>
        <s v="JOSAFAT JIMENEZ ALEGRIA"/>
        <s v="NAHUM SANCHEZ BERDON"/>
        <s v="ALEJANDRO ACOSTA AGUILERA"/>
        <s v="HERMICENDO CALEB ZAVALA ZAVALA"/>
        <s v="LILIA ROSA MADRIGAL LOPEZ"/>
        <s v="MAYRA PEREZ SOLIS"/>
        <s v="ROSARIO RUEDAS SUBIRIAS"/>
        <s v="BLANCA ESTELA GUZMAN CALDERA"/>
        <s v="AXEL MARIN GUEVARA"/>
        <s v="ISAI GOMEZ SUAREZ"/>
        <s v="ISABEL CRISTINA ALBARADO AGUILAR"/>
        <s v="GLORIA IVONNE MIMBELA GUTIERREZ"/>
        <s v="ISMAEL GRANDE VICENTE"/>
        <s v="YENNIFER GONZALEZ CONTRERAS"/>
        <s v="JOSE ANDRES ZAVALA ORTIZ"/>
        <s v="LUIS CARLOS MOYA MARTINEZ"/>
        <s v="RODRIGO ENRIQUE MENDOZA PEREZ"/>
        <s v="YOLANDA LOPEZ ROBLERO"/>
        <s v="OZIEL PALMA NAPE"/>
        <s v="MIGUEL ANGEL JOSE CRUZ"/>
        <s v="MARCELO AQUINO DECEANO"/>
        <s v="ANGEL MANUEL VIALBA LUIS"/>
        <s v="MARIA DE LOS ANGELES XIMELLO VALDIVIA"/>
        <s v="YANELI VELA GARCIA"/>
        <s v="JOSE LORENZO FELIX"/>
        <s v="ROMEO LOPEZ ROBLERO"/>
        <s v="CLARIVEL LEZAMA CALIPA"/>
        <s v="BLANCA CRISTAL MORENO PEREZ"/>
        <s v="AMELIA JORGE NICOLAS"/>
        <s v="YADIRA GAMBOA AGUIRRE"/>
        <s v="MARICELA LOZANO MERINO"/>
        <s v="JESUS MIGUEL REYES RODRIGUEZ"/>
        <s v="EDUARDO LUIS CELIS QUINTERO"/>
        <s v="MARIA ABIGAIL DE LA CRUZ GUZMAN"/>
        <s v="DIANA ALEJANDRA MONTELONGO SILVA"/>
        <s v="JOSE LUIS MENDEZ JUAN"/>
        <s v="PASCUAL CARRILLO BELTRAN"/>
        <s v="RUFINA HERNANDEZ TORRES"/>
        <s v="SIXTO SABINO GALAN"/>
        <s v="YAMILET NOHEMA GARCIA MARTINEZ"/>
        <s v="MARICRUZ CANO MENESES"/>
        <s v="LORENA HERNANDEZ ESPARZA"/>
        <s v="NICOLAS CORTEZ DE JESUS"/>
        <s v="FELIPE VIVANCO MENDOZA"/>
        <s v="HELADIO RODRIGUEZ HEREDIA"/>
        <s v="LUIS EDUARDO SIERRA IBARRA"/>
        <s v="MARVIN CRUZ SANTOS"/>
        <s v="JOSUE SALOMON PANTALEON FLORES"/>
        <s v="ROMARIO DE JESUS RODRIGUEZ VIRGEN"/>
        <s v="VICTOR MANUEL ARIAS JIMENEZ"/>
        <s v="JAZMIN MENENDEZ GARCIA"/>
        <s v="CEYDI CORREA HERNANDEZ"/>
        <s v="OSCAR PIEDRA SALAS"/>
        <s v="ALEXIS DIAZ REYES"/>
        <s v="LUIS GERARDO MATEOS JIMENEZ"/>
        <s v="CRISTHIAN OCTAVIO NARCISO JUAN"/>
        <s v="ALEXIS MORALES FERNANDEZ"/>
        <s v="ISIDRO GONZALEZ VICENTE"/>
        <s v="PABLO LOPEZ GUATEMALA"/>
        <s v="LEANDRO LOPEZ HERNANDEZ"/>
        <s v="LILIA CORTES OROPEZA"/>
        <s v="EDGAR YAHIR DOMINGUEZ MARTINEZ"/>
        <s v="FRANCISCO ANTONIO MORALES MARTINEZ"/>
        <m u="1"/>
        <s v="GILBERTO ARCE TEHUAXTLE" u="1"/>
        <s v="ORALIA BARTOLO HERNANDEZ" u="1"/>
        <s v="TITO JONAN JIMENEZ HERNANDEZ" u="1"/>
        <s v="PEDRO MISAEL SANCHEZ REYES" u="1"/>
        <s v="EUSTOLIO ROBLERO DIAZ" u="1"/>
        <s v="REYES JOAQUIN FLORES" u="1"/>
        <s v="MARIA HERNANDEZ DUARTE" u="1"/>
        <s v="JOSE ALFONSO MONROY GAONA" u="1"/>
        <s v="LUIS ANGEL CARDONA DE LA ROSA" u="1"/>
        <s v="JORGE ALBERTO ACUA ACUA" u="1"/>
        <s v="EDUARDO GONZALO PERALTA GARCIA" u="1"/>
        <s v="ALEJANDRA JUDITH BALDERAS MENDOZA" u="1"/>
        <s v="EDUARDO LOPEZ MARTINEZ" u="1"/>
        <s v="GUILLERMO SANTANA QUINTERO" u="1"/>
        <s v="REYNA ISABEL PEREZ RIVERA" u="1"/>
        <s v="ANELZY MORALES MORALES" u="1"/>
        <s v="JUAN JOSE GARCIA GOMEZ" u="1"/>
        <s v="NORMA MARTINEZ CRUZ" u="1"/>
        <s v="MARICELA GUERRERO RODRIGUEZ" u="1"/>
        <s v="MARIA DEL ROSARIO DURAN CHAVEZ" u="1"/>
        <s v="BRENDA SANTIAGO GONZALEZ" u="1"/>
        <s v="LEYDI KARINA FLORES HERNANDEZ" u="1"/>
        <s v="ROXANA EDITH LARA AMADOR" u="1"/>
        <s v="ELIEL ALDECO MARTINEZ" u="1"/>
        <s v="JOHANA ESMERALDA ORTIZ SANCHEZ" u="1"/>
        <s v="YADIRA PULGARIN SAUCEDO" u="1"/>
        <s v="RICARDO RODRIGUEZ BERNAL" u="1"/>
        <s v="XIOMARA SARAHI PULGARIN SAUCEDO" u="1"/>
        <s v="JOEL DANIEL DESIDERIO VELAZQUEZ" u="1"/>
        <s v="LORENZO FLORES VILLA" u="1"/>
        <s v="FREDY GARCIA CALIHUA" u="1"/>
        <s v="ABNER MONTEJO DOMINGUEZ" u="1"/>
        <s v="JOSE LUIS QUEZADA MARTINEZ" u="1"/>
        <s v="ALEXIS GARCIA SOTO" u="1"/>
        <s v="JORGE IVAN JARAMILLO TAPIA" u="1"/>
        <s v="ADAN MARTINEZ ELICERIO" u="1"/>
        <s v="TOMAS BALCAZAR GONZALEZ" u="1"/>
        <s v="ALMA ESTHELA ZUÑIGA HURTADO" u="1"/>
        <s v="MAURICIO PACHECO MORENO" u="1"/>
        <s v="LUIS FERNANDO PASCUAL CERVANTES" u="1"/>
        <s v="ANA BERENICE ALBA SOSA" u="1"/>
      </sharedItems>
    </cacheField>
    <cacheField name="Piezas revisadas" numFmtId="0">
      <sharedItems containsSemiMixedTypes="0" containsString="0" containsNumber="1" containsInteger="1" minValue="30" maxValue="19815"/>
    </cacheField>
    <cacheField name="Suma de defectos" numFmtId="0">
      <sharedItems containsSemiMixedTypes="0" containsString="0" containsNumber="1" containsInteger="1" minValue="0" maxValue="19"/>
    </cacheField>
    <cacheField name="PPM'S" numFmtId="0">
      <sharedItems containsSemiMixedTypes="0" containsString="0" containsNumber="1" containsInteger="1" minValue="0" maxValue="3297"/>
    </cacheField>
    <cacheField name="meta" numFmtId="0" formula=" 6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Cruz" refreshedDate="44460.560110532409" createdVersion="6" refreshedVersion="6" minRefreshableVersion="3" recordCount="97" xr:uid="{00000000-000A-0000-FFFF-FFFF13000000}">
  <cacheSource type="worksheet">
    <worksheetSource ref="A3:D100" sheet="PPMSQC"/>
  </cacheSource>
  <cacheFields count="5">
    <cacheField name="Inspector" numFmtId="0">
      <sharedItems containsBlank="1" count="133">
        <s v="AMAYRANI JOSELYN SCHIAFFINI SOSA"/>
        <s v="DIANA LIZET MENDEZ ANTONIO"/>
        <s v="ALEXIS RINCON MORALES"/>
        <s v="NANCY JAZMIN SILVA GARCIA"/>
        <s v="ROBERTO CARLOS MARTINEZ GONZALEZ"/>
        <s v="CLAUDIA OLIVERA MONTOR"/>
        <s v="AZUCENA CONCEPCION ESPINOSA VICTORIANO"/>
        <s v="LUIS ALBERTO GREGORIO CARRERA"/>
        <s v="ADRIANA LUCILA SOTO REYES"/>
        <s v="YASSURI DIANELA ALVAREZ CANO"/>
        <s v="LORENZO FLORES VILLA"/>
        <s v="FERNANDO RAMIREZ OLIVARES"/>
        <s v="ALMA CONSTANTINA BORJA MARTINEZ"/>
        <s v="MARIBEL JOSE PEREZ"/>
        <s v="ALFREDO CISNEROS UTRERA"/>
        <s v="DAMARIS MARILU HERNANDEZ VILLATORO"/>
        <s v="NORMA MARTINEZ CRUZ"/>
        <s v="ZAHIREL DEL CARMEN JIMENEZ DOMINGUEZ"/>
        <s v="JUAN CARLOS LOPEZ SANTIAGO"/>
        <s v="GABRIEL HERNANDEZ GARCIA"/>
        <s v="IRMA NATALIA FLORES LOPEZ"/>
        <s v="JHOANA ITZEL HERNANDEZ GALINDO"/>
        <s v="JOSE ALEXIS ESTEBAN AVILA"/>
        <s v="YENNI PERLA PARRA CASTRO"/>
        <s v="ARY LAZARO LOPEZ"/>
        <s v="EDER NOEL CASTILLO VARGAS"/>
        <s v="ANDRES DE JESUS PEREZ DIAZ"/>
        <s v="EMILY MENDOZA CIGARROA"/>
        <s v="TITO JONAN JIMENEZ HERNANDEZ"/>
        <s v="PERLA ITALY MENDOZA ARENAS"/>
        <s v="NICACIO CASTILLEJOS ANTONIO"/>
        <s v="JUDITH MONTES VAQUERA"/>
        <s v="LUIS ENRIQUE AVALOS FERNANDEZ"/>
        <s v="JUAN ANTONIO GARZON MARTINEZ"/>
        <s v="ELIZABETH MENESES MIGUEL"/>
        <s v="ADOLFO ANGEL SANTIAGO RAMOS"/>
        <s v="GISELA JOHANA BOLANOS RAMOS"/>
        <s v="REYES JOAQUIN FLORES"/>
        <s v="JORGE ALBERTO GONZALEZ PEREZ"/>
        <s v="ANAYELI HERNANDEZ LAZARO"/>
        <s v="NAYELI HERNANDEZ HERNANDEZ"/>
        <s v="MICHEL ALEJANDRA ZAMORA LOPEZ"/>
        <s v="GRACIELA MORALES JIMENEZ"/>
        <s v="MELQUIADES CALIXTO MENDEZ"/>
        <s v="SANTA MARGARITA VALADEZ GARCIA"/>
        <s v="FELICITAS FELIX ANAYA"/>
        <s v="RAFAEL JERONIMO REYES"/>
        <s v="CAROLINA FRANCISCO HERNANDEZ"/>
        <s v="CELIN ADOLFO ARREOLA PEREZ"/>
        <s v="ABEL DE JESUS TENCO CAPISTRAN"/>
        <s v="GUILLERMO SANTANA QUINTERO"/>
        <s v="NANCY LOPEZ TAPIA"/>
        <s v="EVARISTO FRANCISCO CARMONA"/>
        <s v="FLAVIO OJEDA OROSIO"/>
        <s v="LUIS GUSTAVO MERIDA SANCHEZ"/>
        <s v="BERNARDO DANIEL GALLEGOS SANTANA"/>
        <s v="DEIVID OCTAVIO JIMENEZ JUAREZ"/>
        <s v="ROXANA EDITH LARA AMADOR"/>
        <s v="JAQUELINE ALAVEZ CARDOZA"/>
        <s v="EUNICE ALEJANDRA GUZMAN CID"/>
        <s v="JESSICA IVONNE BERUMEN LOPEZ"/>
        <s v="PERLA RAMOS ARELLANO"/>
        <s v="ANA LAURA LOPEZ HILARIO"/>
        <s v="XOCHILT MATA MOSQUEDA"/>
        <s v="FRANCISCO JAVIER GONZALEZ MENDEZ"/>
        <s v="JONATAR GONZALEZ MARQUEZ"/>
        <s v="LUIS ALBERTO HERNANDEZ HERNANDEZ"/>
        <s v="GREGORIO FUENTES GARCIA"/>
        <s v="VELIA ENRIQUETA LANDEROS RODRIGUEZ"/>
        <s v="NINIVE SOLIS JIMENEZ"/>
        <s v="WENDY BERENICE PEREZ FRANCISCO"/>
        <s v="JOVANNA DULCE DE LA LUZ BALCAZAR CRUZ"/>
        <s v="ALEXANDER ORDONEZ MORA"/>
        <s v="SELENE MARTINEZ TREJO"/>
        <s v="JORGE IVAN JARAMILLO TAPIA"/>
        <s v="ISABEL REYES RUIZ"/>
        <s v="EDWIN LEONEL CEPEDA TORRES"/>
        <s v="LUIS ALFREDO MARIANO JOAQUIN"/>
        <s v="ERIK MARIN MARTINEZ GONZALEZ"/>
        <s v="GUADALUPE GETZEMANY ZAMORA LOPEZ"/>
        <s v="RUBEN SANTANA CRISTOBAL"/>
        <s v="MARIELA CORONA DELGADO"/>
        <s v="JOSE FERNANDO DIAZ CASTRO"/>
        <s v="LIZBETH PEREIDA JORGE"/>
        <s v="BLANCA LUZ GARCIA CRUZ"/>
        <s v="CELIA NICOLAS ANTONIO"/>
        <s v="BLANCA FLOR GARCIA RUBINOS"/>
        <s v="ADOLFO ROQUE ANTONIO"/>
        <s v="LUIS EDUARDO PEREZ TREVINO"/>
        <s v="JOSE LUIS GONZALEZ ARRONIZ"/>
        <s v="FELIX AGUSTIN DIONICIO"/>
        <m/>
        <s v="GILBERTO ARCE TEHUAXTLE" u="1"/>
        <s v="ORALIA BARTOLO HERNANDEZ" u="1"/>
        <s v="PEDRO MISAEL SANCHEZ REYES" u="1"/>
        <s v="EUSTOLIO ROBLERO DIAZ" u="1"/>
        <s v="MARIA HERNANDEZ DUARTE" u="1"/>
        <s v="JOSE ALFONSO MONROY GAONA" u="1"/>
        <s v="LUIS ANGEL CARDONA DE LA ROSA" u="1"/>
        <s v="LILIA CORTES OROPEZA" u="1"/>
        <s v="JORGE ALBERTO ACUA ACUA" u="1"/>
        <s v="EDUARDO GONZALO PERALTA GARCIA" u="1"/>
        <s v="JOSE BERNARDINO RUBIO MARTINEZ" u="1"/>
        <s v="ALEJANDRA JUDITH BALDERAS MENDOZA" u="1"/>
        <s v="MIRIAM COHETERO ANTONIO" u="1"/>
        <s v="EDUARDO LOPEZ MARTINEZ" u="1"/>
        <s v="REYNA ISABEL PEREZ RIVERA" u="1"/>
        <s v="ANELZY MORALES MORALES" u="1"/>
        <s v="AMADA NOLASCO MARTINEZ" u="1"/>
        <s v="JUAN JOSE GARCIA GOMEZ" u="1"/>
        <s v="MARICELA GUERRERO RODRIGUEZ" u="1"/>
        <s v="MARIA DEL ROSARIO DURAN CHAVEZ" u="1"/>
        <s v="BRENDA SANTIAGO GONZALEZ" u="1"/>
        <s v="LEYDI KARINA FLORES HERNANDEZ" u="1"/>
        <s v="ELIEL ALDECO MARTINEZ" u="1"/>
        <s v="JOHANA ESMERALDA ORTIZ SANCHEZ" u="1"/>
        <s v="YADIRA PULGARIN SAUCEDO" u="1"/>
        <s v="RICARDO RODRIGUEZ BERNAL" u="1"/>
        <s v="BRENDA CECILIA PINALES JIMENEZ" u="1"/>
        <s v="HECTOR DANIEL TRUJILLO LUEVANOS" u="1"/>
        <s v="XIOMARA SARAHI PULGARIN SAUCEDO" u="1"/>
        <s v="JOEL DANIEL DESIDERIO VELAZQUEZ" u="1"/>
        <s v="GERARDO PALACIOS COHETERO" u="1"/>
        <s v="FREDY GARCIA CALIHUA" u="1"/>
        <s v="ABNER MONTEJO DOMINGUEZ" u="1"/>
        <s v="JOSE LUIS QUEZADA MARTINEZ" u="1"/>
        <s v="ALEXIS GARCIA SOTO" u="1"/>
        <s v="ADAN MARTINEZ ELICERIO" u="1"/>
        <s v="TOMAS BALCAZAR GONZALEZ" u="1"/>
        <s v="ALMA ESTHELA ZUÑIGA HURTADO" u="1"/>
        <s v="MAURICIO PACHECO MORENO" u="1"/>
        <s v="LUIS FERNANDO PASCUAL CERVANTES" u="1"/>
        <s v="ANA BERENICE ALBA SOSA" u="1"/>
      </sharedItems>
    </cacheField>
    <cacheField name="Piezas revisadas" numFmtId="0">
      <sharedItems containsString="0" containsBlank="1" containsNumber="1" containsInteger="1" minValue="30" maxValue="25951"/>
    </cacheField>
    <cacheField name="Suma de defectos" numFmtId="0">
      <sharedItems containsString="0" containsBlank="1" containsNumber="1" containsInteger="1" minValue="0" maxValue="25"/>
    </cacheField>
    <cacheField name="PPM'S" numFmtId="0">
      <sharedItems containsString="0" containsBlank="1" containsNumber="1" containsInteger="1" minValue="0" maxValue="5022"/>
    </cacheField>
    <cacheField name="Meta" numFmtId="0" formula=" 600" databaseField="0"/>
  </cacheFields>
  <extLst>
    <ext xmlns:x14="http://schemas.microsoft.com/office/spreadsheetml/2009/9/main" uri="{725AE2AE-9491-48be-B2B4-4EB974FC3084}">
      <x14:pivotCacheDefinition pivotCacheId="115495601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Esteban" refreshedDate="44469.389112384262" createdVersion="6" refreshedVersion="7" minRefreshableVersion="3" recordCount="97" xr:uid="{00000000-000A-0000-FFFF-FFFF12000000}">
  <cacheSource type="worksheet">
    <worksheetSource ref="Q3:T100" sheet="PPMSQC"/>
  </cacheSource>
  <cacheFields count="5">
    <cacheField name="Inspector" numFmtId="0">
      <sharedItems containsBlank="1" count="137">
        <s v="ADONIRAM BALCAZAR VIDANA"/>
        <s v="JOSAFAT JIMENEZ ALEGRIA"/>
        <s v="LILIA ROSA MADRIGAL LOPEZ"/>
        <s v="HECTOR MANUEL BORJA MARTINEZ"/>
        <s v="ALBINO ANTONIO PEREZ"/>
        <s v="IVETH MERARID AGUILAR BARRIENTOS"/>
        <s v="ALEJANDRO ACOSTA AGUILERA"/>
        <s v="CLARISA VIRIDIANA VAZQUEZ HERNANDEZ"/>
        <s v="LUIS CARLOS MOYA MARTINEZ"/>
        <s v="YANELI VELA GARCIA"/>
        <s v="ESMERALDA RESENDIZ RAMOS"/>
        <s v="NANCY GARCIA PEREZ"/>
        <s v="JOSE LORENZO FELIX"/>
        <s v="ERIKA ILEANA ESPINOZA RIVERA"/>
        <s v="DANNA CITLALLI SILVA VILLA"/>
        <s v="GLORIA IVONNE MIMBELA GUTIERREZ"/>
        <s v="LAURA SOTO DIAZ"/>
        <s v="JOSE ANDRES ZAVALA ORTIZ"/>
        <s v="JOSE LUIS MENDEZ JUAN"/>
        <s v="YADIRA GAMBOA AGUIRRE"/>
        <s v="RUFINA HERNANDEZ TORRES"/>
        <s v="YAIR CASTANEDA MARQUEZ"/>
        <s v="ELIGIO RAMOS GONZALEZ"/>
        <s v="AXEL MARIN GUEVARA"/>
        <s v="BRENDA YANETH MORA CARRILLO"/>
        <s v="MARIA MONSERRAT MENDOZA GONZALEZ"/>
        <s v="CLARIVEL LEZAMA CALIPA"/>
        <s v="LUCIA LOPEZ ESTRADA"/>
        <s v="ISABEL CRISTINA ALBARADO AGUILAR"/>
        <s v="JOSUE SALOMON PANTALEON FLORES"/>
        <s v="OSVALDO CATALINO VICENTE"/>
        <s v="JAVIER CEHUALATL AGUILAR"/>
        <s v="RAFAEL BALCAZAR VIDANA"/>
        <s v="MAYRA PEREZ SOLIS"/>
        <s v="ISAI GOMEZ SUAREZ"/>
        <s v="ESMERALDA MAROTO RAMON"/>
        <s v="MARICRUZ CANO MENESES"/>
        <s v="FLOR NATALY GOMEZ GALAN"/>
        <s v="RAUL DURAN QUINTERO"/>
        <s v="FREDY REYES URIBE"/>
        <s v="GLADYS DEL CARMEN MARTINEZ PATRACA"/>
        <s v="LIZBETH JUAREZ RAMIREZ"/>
        <s v="YENNIFER GONZALEZ CONTRERAS"/>
        <s v="MARCELO AQUINO DECEANO"/>
        <s v="EDUARDO RAMOS HERNANDEZ"/>
        <s v="OZIEL PALMA NAPE"/>
        <s v="ROMEO LOPEZ ROBLERO"/>
        <s v="ANDREA IRATXE CONDE MENENDEZ"/>
        <s v="JAZMIN PARRAL GARCIA"/>
        <s v="NICOLAS CORTEZ DE JESUS"/>
        <s v="ANGEL JAVIER TORRES RAMIREZ"/>
        <s v="ANGEL MANUEL VIALBA LUIS"/>
        <s v="SILVIA IVONNE GARCIA MIRELES"/>
        <s v="PALOMA GABRIELA REYES GARCIA"/>
        <s v="MIGUEL ANGEL JOSE CRUZ"/>
        <s v="EFREN GARCIA AVILA"/>
        <s v="ABIGAIL REYES LOPEZ"/>
        <s v="GUADALUPE ABRIS LUNA"/>
        <s v="JESUS MIGUEL REYES RODRIGUEZ"/>
        <s v="CARLOS GEORGE MIGUEL LOPEZ"/>
        <s v="FRANCISCO ANTONIO MORALES MARTINEZ"/>
        <s v="VICTOR MANUEL ARIAS JIMENEZ"/>
        <s v="LUZ ADRIANA GUEVARA MERAZ"/>
        <s v="MARIA DE LOS ANGELES XIMELLO VALDIVIA"/>
        <s v="BLANCA ESTELA GUZMAN CALDERA"/>
        <s v="PERLA IVETH HERNANDEZ CASTILLO"/>
        <s v="ROSARIO RUEDAS SUBIRIAS"/>
        <s v="ORLANDO HERNANDEZ BAUTISTA"/>
        <s v="FILEMON MARTINEZ FELIPE"/>
        <s v="KARINA GONZALEZ CAMPOS"/>
        <s v="ADRIAN CALDERON MORENO"/>
        <s v="MARICELA LOZANO MERINO"/>
        <s v="ALEXIS DIAZ REYES"/>
        <s v="RICARDO JAHIR AVILA CONTRERAS"/>
        <s v="LUIS EDUARDO FELIPE CRUZ"/>
        <s v="SIXTO SABINO GALAN"/>
        <s v="MARVIN RAMON CASANOVA VELEZ"/>
        <s v="YOLANDA LOPEZ ROBLERO"/>
        <s v="HERMICENDO CALEB ZAVALA ZAVALA"/>
        <s v="BLANCA CRISTAL MORENO PEREZ"/>
        <s v="JOSE IGNACIO PEREZ ZAMORA"/>
        <s v="GUADALUPE ROMERO CABRERA"/>
        <s v="ELIZABETH HERNANDEZ PACHECO"/>
        <s v="CORNELIO DE LEON SALAS"/>
        <s v="NATIVIDAD MAGIN SOSOL"/>
        <s v="ROBERTO OCANA CASTILLEJOS"/>
        <s v="MARTINA LINARES SAN GABRIEL"/>
        <s v="LUIS EDUARDO SIERRA IBARRA"/>
        <s v="AMELIA JORGE NICOLAS"/>
        <s v="LAURA LOPEZ LOPEZ"/>
        <m/>
        <s v="EDUARDO GONZALO PERALTA GARCIA" u="1"/>
        <s v="TITO JONAN JIMENEZ HERNANDEZ" u="1"/>
        <s v="TOMAS BALCAZAR GONZALEZ" u="1"/>
        <s v="JOHANA ESMERALDA ORTIZ SANCHEZ" u="1"/>
        <s v="ROXANA EDITH LARA AMADOR" u="1"/>
        <s v="ADAN MARTINEZ ELICERIO" u="1"/>
        <s v="LUIS FERNANDO PASCUAL CERVANTES" u="1"/>
        <s v="LUIS ANGEL CARDONA DE LA ROSA" u="1"/>
        <s v="ALEJANDRA JUDITH BALDERAS MENDOZA" u="1"/>
        <s v="MARIA HERNANDEZ DUARTE" u="1"/>
        <s v="JUAN JOSE GARCIA GOMEZ" u="1"/>
        <s v="ANELZY MORALES MORALES" u="1"/>
        <s v="JOSE ALFONSO MONROY GAONA" u="1"/>
        <s v="LORENZO FLORES VILLA" u="1"/>
        <s v="ffdgfg" u="1"/>
        <s v="REYES JOAQUIN FLORES" u="1"/>
        <s v="JORGE ALBERTO ACUA ACUA" u="1"/>
        <s v="PEDRO MISAEL SANCHEZ REYES" u="1"/>
        <s v="MARICELA GUERRERO RODRIGUEZ" u="1"/>
        <s v="ABNER MONTEJO DOMINGUEZ" u="1"/>
        <s v="ALMA ESTHELA ZUÑIGA HURTADO" u="1"/>
        <s v="XIOMARA SARAHI PULGARIN SAUCEDO" u="1"/>
        <s v="RICARDO RODRIGUEZ BERNAL" u="1"/>
        <s v="JORGE IVAN JARAMILLO TAPIA" u="1"/>
        <s v="FREDY GARCIA CALIHUA" u="1"/>
        <s v="ELIEL ALDECO MARTINEZ" u="1"/>
        <s v="ANA BERENICE ALBA SOSA" u="1"/>
        <s v="NORMA MARTINEZ CRUZ" u="1"/>
        <s v="YADIRA PULGARIN SAUCEDO" u="1"/>
        <s v="EDUARDO LOPEZ MARTINEZ" u="1"/>
        <s v="fgdfs" u="1"/>
        <s v="REYNA ISABEL PEREZ RIVERA" u="1"/>
        <s v="dgrgrt" u="1"/>
        <s v="ORALIA BARTOLO HERNANDEZ" u="1"/>
        <s v="GILBERTO ARCE TEHUAXTLE" u="1"/>
        <s v="LEYDI KARINA FLORES HERNANDEZ" u="1"/>
        <s v="sfdf" u="1"/>
        <s v="EUSTOLIO ROBLERO DIAZ" u="1"/>
        <s v="JOEL DANIEL DESIDERIO VELAZQUEZ" u="1"/>
        <s v="MAURICIO PACHECO MORENO" u="1"/>
        <s v="LILIA CORTES OROPEZA" u="1"/>
        <s v="ALEXIS GARCIA SOTO" u="1"/>
        <s v="BRENDA SANTIAGO GONZALEZ" u="1"/>
        <s v="MARIA DEL ROSARIO DURAN CHAVEZ" u="1"/>
        <s v="JOSE LUIS QUEZADA MARTINEZ" u="1"/>
        <s v="GUILLERMO SANTANA QUINTERO" u="1"/>
      </sharedItems>
    </cacheField>
    <cacheField name="Piezas revisadas" numFmtId="0">
      <sharedItems containsString="0" containsBlank="1" containsNumber="1" containsInteger="1" minValue="30" maxValue="1620"/>
    </cacheField>
    <cacheField name="Defectos" numFmtId="0">
      <sharedItems containsString="0" containsBlank="1" containsNumber="1" containsInteger="1" minValue="0" maxValue="3"/>
    </cacheField>
    <cacheField name="PPM'S" numFmtId="0">
      <sharedItems containsString="0" containsBlank="1" containsNumber="1" containsInteger="1" minValue="0" maxValue="7407"/>
    </cacheField>
    <cacheField name="meta" numFmtId="0" formula=" 6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Esteban" refreshedDate="44470.684417129632" createdVersion="6" refreshedVersion="7" minRefreshableVersion="3" recordCount="32" xr:uid="{00000000-000A-0000-FFFF-FFFF15000000}">
  <cacheSource type="worksheet">
    <worksheetSource ref="T5:W37" sheet="PPMS"/>
  </cacheSource>
  <cacheFields count="4">
    <cacheField name="INSPECTOR" numFmtId="0">
      <sharedItems containsBlank="1" count="47">
        <s v="ADRIAN CALDERON MORENO"/>
        <s v="ALBINO ANTONIO PEREZ"/>
        <s v="ALEXANDER HERNANDEZ HDEZ."/>
        <s v="ALMA CONSTANTINA BORJA MARTINEZ"/>
        <s v="ANDREA IRATXE CONDE MENENDEZ"/>
        <s v="AXEL MARIN GUEVARA"/>
        <s v="BRENDA YANETH MORA CARRILLO"/>
        <s v="CESAR AUGUSTO HERNANDEZ HERNANDEZ"/>
        <s v="CEYDI CORREA HERNANDEZ"/>
        <s v="CHRISTIAN HUERTA SANTOS"/>
        <s v="CLARIVEL LEZAMA CALIPA"/>
        <s v="DANA YARETH CONDE MENENDEZ"/>
        <s v="EDUARDO LUIS CELIS QUINTERO"/>
        <s v="EDUARDO RAMOS HERNANDEZ"/>
        <s v="EFREN GARCIA AVILA"/>
        <s v="ELIGIO RAMOS GONZALEZ"/>
        <s v="ELIOENAI HERNANDEZ HERNANDEZ"/>
        <s v="ESMERALDA MAROTO RAMON"/>
        <s v="FELIPE MENENDEZ BOLANOS"/>
        <s v="FELIPE VIVANCO MENDOZA"/>
        <s v="FRANCISCO CHAPOL SOTO"/>
        <s v="GUADALUPE ABRIS LUNA"/>
        <s v="HELADIO RODRIGUEZ HEREDIA"/>
        <s v="ISAI GOMEZ SUAREZ"/>
        <s v="ISMAEL GRANDE VICENTE"/>
        <s v="IVETH MERARID AGUILAR BARRIENTOS"/>
        <s v="JAZMIN MENENDEZ GARCIA"/>
        <s v="JOSE EDUARDO MARTINEZ ORTEGA"/>
        <s v="JOSE IGNACIO PEREZ ZAMORA"/>
        <s v="JOSUE SALOMON PANTALEON FLORES"/>
        <s v="LILIA CORTES OROPEZA"/>
        <s v="LUIS ADRIAN NAVA ALONSO"/>
        <m u="1"/>
        <s v="EUSTOLIO ROBLERO DIAZ" u="1"/>
        <s v="JOSE BERNARDINO RUBIO MARTINEZ" u="1"/>
        <s v="ALEJANDRA JUDITH BALDERAS MENDOZA" u="1"/>
        <s v="EDUARDO LOPEZ MARTINEZ" u="1"/>
        <s v="ANELZY MORALES MORALES" u="1"/>
        <s v="JUAN JOSE GARCIA GOMEZ" u="1"/>
        <s v="NORMA MARTINEZ CRUZ" u="1"/>
        <s v="MARICELA GUERRERO RODRIGUEZ" u="1"/>
        <s v="BRENDA CECILIA PINALES JIMENEZ" u="1"/>
        <s v="LORENZO FLORES VILLA" u="1"/>
        <s v="ABNER MONTEJO DOMINGUEZ" u="1"/>
        <s v="ALEXIS GARCIA SOTO" u="1"/>
        <s v="ALMA ESTHELA ZUÑIGA HURTADO" u="1"/>
        <s v="MAURICIO PACHECO MORENO" u="1"/>
      </sharedItems>
    </cacheField>
    <cacheField name="T. NORMAL " numFmtId="0">
      <sharedItems containsString="0" containsBlank="1" containsNumber="1" containsInteger="1" minValue="60" maxValue="5400"/>
    </cacheField>
    <cacheField name="T. EXTRA" numFmtId="0">
      <sharedItems containsString="0" containsBlank="1" containsNumber="1" containsInteger="1" minValue="330" maxValue="900"/>
    </cacheField>
    <cacheField name="TOTAL" numFmtId="0">
      <sharedItems containsSemiMixedTypes="0" containsString="0" containsNumber="1" containsInteger="1" minValue="60" maxValue="5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Esteban" refreshedDate="44470.684418634257" createdVersion="6" refreshedVersion="7" minRefreshableVersion="3" recordCount="31" xr:uid="{00000000-000A-0000-FFFF-FFFF16000000}">
  <cacheSource type="worksheet">
    <worksheetSource ref="AD3:AK34" sheet="PPMS"/>
  </cacheSource>
  <cacheFields count="8">
    <cacheField name="Fecha " numFmtId="0">
      <sharedItems containsString="0" containsBlank="1" containsNumber="1" containsInteger="1" minValue="1" maxValue="13" count="13">
        <n v="1"/>
        <n v="2"/>
        <n v="3"/>
        <n v="4"/>
        <n v="6"/>
        <n v="7"/>
        <n v="8"/>
        <n v="9"/>
        <n v="10"/>
        <n v="11"/>
        <n v="12"/>
        <n v="13"/>
        <m/>
      </sharedItems>
    </cacheField>
    <cacheField name="Total de muesta " numFmtId="0">
      <sharedItems containsString="0" containsBlank="1" containsNumber="1" containsInteger="1" minValue="180" maxValue="49876"/>
    </cacheField>
    <cacheField name="Suma de defectos" numFmtId="0">
      <sharedItems containsString="0" containsBlank="1" containsNumber="1" containsInteger="1" minValue="0" maxValue="48"/>
    </cacheField>
    <cacheField name="PPM'S" numFmtId="1">
      <sharedItems containsString="0" containsBlank="1" containsNumber="1" containsInteger="1" minValue="0" maxValue="1002"/>
    </cacheField>
    <cacheField name="Fecha" numFmtId="0">
      <sharedItems containsString="0" containsBlank="1" containsNumber="1" containsInteger="1" minValue="1" maxValue="13"/>
    </cacheField>
    <cacheField name="Total de muesta 2" numFmtId="0">
      <sharedItems containsString="0" containsBlank="1" containsNumber="1" containsInteger="1" minValue="60" maxValue="38550"/>
    </cacheField>
    <cacheField name="Suma de defectos2" numFmtId="0">
      <sharedItems containsString="0" containsBlank="1" containsNumber="1" containsInteger="1" minValue="0" maxValue="34"/>
    </cacheField>
    <cacheField name="PPM'S2" numFmtId="1">
      <sharedItems containsString="0" containsBlank="1" containsNumber="1" containsInteger="1" minValue="0" maxValue="9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Esteban" refreshedDate="44470.684420138889" createdVersion="6" refreshedVersion="7" minRefreshableVersion="3" recordCount="29" xr:uid="{00000000-000A-0000-FFFF-FFFF14000000}">
  <cacheSource type="worksheet">
    <worksheetSource ref="O5:R34" sheet="PPMS"/>
  </cacheSource>
  <cacheFields count="4">
    <cacheField name="INSPECTOR" numFmtId="0">
      <sharedItems containsBlank="1" count="37">
        <s v="ALEXIS RINCON MORALES"/>
        <s v="ALFREDO CISNEROS UTRERA"/>
        <s v="BERNARDO DANIEL GALLEGOS SANTANA"/>
        <s v="CELIA NICOLAS ANTONIO"/>
        <s v="DEIVID OCTAVIO JIMENEZ JUAREZ"/>
        <s v="EMILY MENDOZA CIGARROA"/>
        <s v="ERIK MARIN MARTINEZ GONZALEZ"/>
        <s v="EUNICE ALEJANDRA GUZMAN CID"/>
        <s v="FELIX AGUSTIN DIONICIO"/>
        <s v="JONATAR GONZALEZ MARQUEZ"/>
        <s v="JOSE FERNANDO DIAZ CASTRO"/>
        <s v="JOVANNA DULCE DE LA LUZ BALCAZAR CRUZ"/>
        <s v="JUAN ANTONIO GARZON MARTINEZ"/>
        <s v="LIZBETH PEREIDA JORGE"/>
        <s v="LORENA RAMIREZ MONTERO"/>
        <s v="LUIS ALBERTO GREGORIO CARRERA"/>
        <s v="LUIS EDUARDO PEREZ TREVINO"/>
        <s v="MARIA DEL CARMEN TEMIS ROSAS"/>
        <s v="MARIELA CORONA DELGADO"/>
        <s v="NINIVE SOLIS JIMENEZ"/>
        <s v="PERLA RAMOS ARELLANO"/>
        <s v="SANTIAGO SANCHEZ ZETINA"/>
        <m/>
        <s v="EUSTOLIO ROBLERO DIAZ" u="1"/>
        <s v="JOSE BERNARDINO RUBIO MARTINEZ" u="1"/>
        <s v="ALEJANDRA JUDITH BALDERAS MENDOZA" u="1"/>
        <s v="EDUARDO LOPEZ MARTINEZ" u="1"/>
        <s v="ANELZY MORALES MORALES" u="1"/>
        <s v="JUAN JOSE GARCIA GOMEZ" u="1"/>
        <s v="NORMA MARTINEZ CRUZ" u="1"/>
        <s v="MARICELA GUERRERO RODRIGUEZ" u="1"/>
        <s v="BRENDA CECILIA PINALES JIMENEZ" u="1"/>
        <s v="LORENZO FLORES VILLA" u="1"/>
        <s v="ABNER MONTEJO DOMINGUEZ" u="1"/>
        <s v="ALEXIS GARCIA SOTO" u="1"/>
        <s v="ALMA ESTHELA ZUÑIGA HURTADO" u="1"/>
        <s v="MAURICIO PACHECO MORENO" u="1"/>
      </sharedItems>
    </cacheField>
    <cacheField name="T. NORMAL " numFmtId="0">
      <sharedItems containsString="0" containsBlank="1" containsNumber="1" containsInteger="1" minValue="60" maxValue="3120"/>
    </cacheField>
    <cacheField name="T. EXTRA" numFmtId="0">
      <sharedItems containsNonDate="0" containsString="0" containsBlank="1"/>
    </cacheField>
    <cacheField name="TOTAL" numFmtId="0">
      <sharedItems containsSemiMixedTypes="0" containsString="0" containsNumber="1" containsInteger="1" minValue="0" maxValue="31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">
  <r>
    <x v="0"/>
    <n v="210"/>
    <n v="2"/>
    <n v="9523"/>
  </r>
  <r>
    <x v="1"/>
    <n v="480"/>
    <n v="3"/>
    <n v="6250"/>
  </r>
  <r>
    <x v="2"/>
    <n v="330"/>
    <n v="2"/>
    <n v="6060"/>
  </r>
  <r>
    <x v="3"/>
    <n v="570"/>
    <n v="2"/>
    <n v="3508"/>
  </r>
  <r>
    <x v="4"/>
    <n v="1800"/>
    <n v="5"/>
    <n v="2777"/>
  </r>
  <r>
    <x v="5"/>
    <n v="420"/>
    <n v="1"/>
    <n v="2380"/>
  </r>
  <r>
    <x v="6"/>
    <n v="420"/>
    <n v="1"/>
    <n v="2380"/>
  </r>
  <r>
    <x v="7"/>
    <n v="450"/>
    <n v="1"/>
    <n v="2222"/>
  </r>
  <r>
    <x v="8"/>
    <n v="1365"/>
    <n v="3"/>
    <n v="2197"/>
  </r>
  <r>
    <x v="9"/>
    <n v="930"/>
    <n v="2"/>
    <n v="2150"/>
  </r>
  <r>
    <x v="10"/>
    <n v="540"/>
    <n v="1"/>
    <n v="1851"/>
  </r>
  <r>
    <x v="11"/>
    <n v="840"/>
    <n v="1"/>
    <n v="1190"/>
  </r>
  <r>
    <x v="12"/>
    <n v="990"/>
    <n v="1"/>
    <n v="1010"/>
  </r>
  <r>
    <x v="13"/>
    <n v="390"/>
    <n v="0"/>
    <n v="0"/>
  </r>
  <r>
    <x v="14"/>
    <n v="240"/>
    <n v="0"/>
    <n v="0"/>
  </r>
  <r>
    <x v="15"/>
    <n v="300"/>
    <n v="0"/>
    <n v="0"/>
  </r>
  <r>
    <x v="16"/>
    <n v="150"/>
    <n v="0"/>
    <n v="0"/>
  </r>
  <r>
    <x v="17"/>
    <n v="90"/>
    <n v="0"/>
    <n v="0"/>
  </r>
  <r>
    <x v="18"/>
    <n v="180"/>
    <n v="0"/>
    <n v="0"/>
  </r>
  <r>
    <x v="19"/>
    <n v="30"/>
    <n v="0"/>
    <n v="0"/>
  </r>
  <r>
    <x v="20"/>
    <n v="930"/>
    <n v="0"/>
    <n v="0"/>
  </r>
  <r>
    <x v="16"/>
    <n v="60"/>
    <n v="0"/>
    <n v="0"/>
  </r>
  <r>
    <x v="21"/>
    <n v="165"/>
    <n v="0"/>
    <n v="0"/>
  </r>
  <r>
    <x v="22"/>
    <n v="240"/>
    <n v="0"/>
    <n v="0"/>
  </r>
  <r>
    <x v="23"/>
    <n v="660"/>
    <n v="0"/>
    <n v="0"/>
  </r>
  <r>
    <x v="24"/>
    <n v="1110"/>
    <n v="0"/>
    <n v="0"/>
  </r>
  <r>
    <x v="25"/>
    <n v="240"/>
    <n v="0"/>
    <n v="0"/>
  </r>
  <r>
    <x v="26"/>
    <n v="1170"/>
    <n v="0"/>
    <n v="0"/>
  </r>
  <r>
    <x v="27"/>
    <n v="1365"/>
    <n v="0"/>
    <n v="0"/>
  </r>
  <r>
    <x v="28"/>
    <n v="30"/>
    <n v="0"/>
    <n v="0"/>
  </r>
  <r>
    <x v="29"/>
    <n v="345"/>
    <n v="0"/>
    <n v="0"/>
  </r>
  <r>
    <x v="30"/>
    <n v="1830"/>
    <n v="0"/>
    <n v="0"/>
  </r>
  <r>
    <x v="31"/>
    <n v="3135"/>
    <n v="0"/>
    <n v="0"/>
  </r>
  <r>
    <x v="32"/>
    <n v="90"/>
    <n v="0"/>
    <n v="0"/>
  </r>
  <r>
    <x v="33"/>
    <n v="300"/>
    <n v="0"/>
    <n v="0"/>
  </r>
  <r>
    <x v="34"/>
    <n v="150"/>
    <n v="0"/>
    <n v="0"/>
  </r>
  <r>
    <x v="35"/>
    <n v="330"/>
    <n v="0"/>
    <n v="0"/>
  </r>
  <r>
    <x v="36"/>
    <n v="1740"/>
    <n v="0"/>
    <n v="0"/>
  </r>
  <r>
    <x v="37"/>
    <n v="390"/>
    <n v="0"/>
    <n v="0"/>
  </r>
  <r>
    <x v="38"/>
    <n v="1110"/>
    <n v="0"/>
    <n v="0"/>
  </r>
  <r>
    <x v="39"/>
    <n v="570"/>
    <n v="0"/>
    <n v="0"/>
  </r>
  <r>
    <x v="40"/>
    <n v="870"/>
    <n v="0"/>
    <n v="0"/>
  </r>
  <r>
    <x v="13"/>
    <n v="705"/>
    <n v="0"/>
    <n v="0"/>
  </r>
  <r>
    <x v="41"/>
    <n v="90"/>
    <n v="0"/>
    <n v="0"/>
  </r>
  <r>
    <x v="42"/>
    <n v="1020"/>
    <n v="0"/>
    <n v="0"/>
  </r>
  <r>
    <x v="43"/>
    <n v="720"/>
    <n v="0"/>
    <n v="0"/>
  </r>
  <r>
    <x v="44"/>
    <n v="645"/>
    <n v="0"/>
    <n v="0"/>
  </r>
  <r>
    <x v="45"/>
    <n v="300"/>
    <n v="0"/>
    <n v="0"/>
  </r>
  <r>
    <x v="46"/>
    <n v="510"/>
    <n v="0"/>
    <n v="0"/>
  </r>
  <r>
    <x v="47"/>
    <n v="270"/>
    <n v="0"/>
    <n v="0"/>
  </r>
  <r>
    <x v="48"/>
    <n v="450"/>
    <n v="0"/>
    <n v="0"/>
  </r>
  <r>
    <x v="49"/>
    <n v="30"/>
    <n v="0"/>
    <n v="0"/>
  </r>
  <r>
    <x v="50"/>
    <n v="240"/>
    <n v="0"/>
    <n v="0"/>
  </r>
  <r>
    <x v="51"/>
    <n v="90"/>
    <n v="0"/>
    <n v="0"/>
  </r>
  <r>
    <x v="52"/>
    <n v="600"/>
    <n v="0"/>
    <n v="0"/>
  </r>
  <r>
    <x v="53"/>
    <n v="30"/>
    <n v="0"/>
    <n v="0"/>
  </r>
  <r>
    <x v="54"/>
    <n v="60"/>
    <n v="0"/>
    <n v="0"/>
  </r>
  <r>
    <x v="55"/>
    <n v="585"/>
    <n v="0"/>
    <n v="0"/>
  </r>
  <r>
    <x v="56"/>
    <n v="120"/>
    <n v="0"/>
    <n v="0"/>
  </r>
  <r>
    <x v="57"/>
    <n v="795"/>
    <n v="0"/>
    <n v="0"/>
  </r>
  <r>
    <x v="58"/>
    <n v="30"/>
    <n v="0"/>
    <n v="0"/>
  </r>
  <r>
    <x v="59"/>
    <n v="1290"/>
    <n v="0"/>
    <n v="0"/>
  </r>
  <r>
    <x v="60"/>
    <n v="90"/>
    <n v="0"/>
    <n v="0"/>
  </r>
  <r>
    <x v="61"/>
    <n v="540"/>
    <n v="0"/>
    <n v="0"/>
  </r>
  <r>
    <x v="62"/>
    <n v="30"/>
    <n v="0"/>
    <n v="0"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  <r>
    <x v="6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7">
  <r>
    <x v="0"/>
    <n v="3336"/>
    <n v="11"/>
    <n v="3297"/>
  </r>
  <r>
    <x v="1"/>
    <n v="6420"/>
    <n v="12"/>
    <n v="1869"/>
  </r>
  <r>
    <x v="2"/>
    <n v="2160"/>
    <n v="4"/>
    <n v="1851"/>
  </r>
  <r>
    <x v="3"/>
    <n v="2356"/>
    <n v="4"/>
    <n v="1697"/>
  </r>
  <r>
    <x v="4"/>
    <n v="4890"/>
    <n v="8"/>
    <n v="1635"/>
  </r>
  <r>
    <x v="5"/>
    <n v="5612"/>
    <n v="9"/>
    <n v="1603"/>
  </r>
  <r>
    <x v="6"/>
    <n v="13395"/>
    <n v="19"/>
    <n v="1418"/>
  </r>
  <r>
    <x v="7"/>
    <n v="6900"/>
    <n v="9"/>
    <n v="1304"/>
  </r>
  <r>
    <x v="8"/>
    <n v="6285"/>
    <n v="8"/>
    <n v="1272"/>
  </r>
  <r>
    <x v="9"/>
    <n v="4770"/>
    <n v="6"/>
    <n v="1257"/>
  </r>
  <r>
    <x v="10"/>
    <n v="8850"/>
    <n v="11"/>
    <n v="1242"/>
  </r>
  <r>
    <x v="11"/>
    <n v="4830"/>
    <n v="6"/>
    <n v="1242"/>
  </r>
  <r>
    <x v="12"/>
    <n v="2460"/>
    <n v="3"/>
    <n v="1219"/>
  </r>
  <r>
    <x v="13"/>
    <n v="2460"/>
    <n v="3"/>
    <n v="1219"/>
  </r>
  <r>
    <x v="14"/>
    <n v="2490"/>
    <n v="3"/>
    <n v="1204"/>
  </r>
  <r>
    <x v="15"/>
    <n v="2490"/>
    <n v="3"/>
    <n v="1204"/>
  </r>
  <r>
    <x v="16"/>
    <n v="10140"/>
    <n v="12"/>
    <n v="1183"/>
  </r>
  <r>
    <x v="17"/>
    <n v="1695"/>
    <n v="2"/>
    <n v="1179"/>
  </r>
  <r>
    <x v="18"/>
    <n v="9541"/>
    <n v="11"/>
    <n v="1152"/>
  </r>
  <r>
    <x v="19"/>
    <n v="4380"/>
    <n v="5"/>
    <n v="1141"/>
  </r>
  <r>
    <x v="20"/>
    <n v="1755"/>
    <n v="2"/>
    <n v="1139"/>
  </r>
  <r>
    <x v="21"/>
    <n v="3666"/>
    <n v="4"/>
    <n v="1091"/>
  </r>
  <r>
    <x v="22"/>
    <n v="5520"/>
    <n v="6"/>
    <n v="1086"/>
  </r>
  <r>
    <x v="23"/>
    <n v="1845"/>
    <n v="2"/>
    <n v="1084"/>
  </r>
  <r>
    <x v="24"/>
    <n v="6555"/>
    <n v="7"/>
    <n v="1067"/>
  </r>
  <r>
    <x v="25"/>
    <n v="4740"/>
    <n v="5"/>
    <n v="1054"/>
  </r>
  <r>
    <x v="26"/>
    <n v="6840"/>
    <n v="7"/>
    <n v="1023"/>
  </r>
  <r>
    <x v="27"/>
    <n v="13620"/>
    <n v="13"/>
    <n v="954"/>
  </r>
  <r>
    <x v="28"/>
    <n v="4350"/>
    <n v="4"/>
    <n v="919"/>
  </r>
  <r>
    <x v="29"/>
    <n v="7635"/>
    <n v="7"/>
    <n v="916"/>
  </r>
  <r>
    <x v="30"/>
    <n v="3286"/>
    <n v="3"/>
    <n v="912"/>
  </r>
  <r>
    <x v="31"/>
    <n v="4470"/>
    <n v="4"/>
    <n v="894"/>
  </r>
  <r>
    <x v="32"/>
    <n v="9315"/>
    <n v="8"/>
    <n v="858"/>
  </r>
  <r>
    <x v="33"/>
    <n v="3660"/>
    <n v="3"/>
    <n v="819"/>
  </r>
  <r>
    <x v="34"/>
    <n v="1245"/>
    <n v="1"/>
    <n v="803"/>
  </r>
  <r>
    <x v="35"/>
    <n v="6990"/>
    <n v="5"/>
    <n v="715"/>
  </r>
  <r>
    <x v="36"/>
    <n v="2805"/>
    <n v="2"/>
    <n v="713"/>
  </r>
  <r>
    <x v="37"/>
    <n v="7350"/>
    <n v="5"/>
    <n v="680"/>
  </r>
  <r>
    <x v="38"/>
    <n v="11836"/>
    <n v="8"/>
    <n v="675"/>
  </r>
  <r>
    <x v="39"/>
    <n v="12152"/>
    <n v="8"/>
    <n v="658"/>
  </r>
  <r>
    <x v="40"/>
    <n v="6182"/>
    <n v="4"/>
    <n v="647"/>
  </r>
  <r>
    <x v="41"/>
    <n v="1545"/>
    <n v="1"/>
    <n v="647"/>
  </r>
  <r>
    <x v="42"/>
    <n v="1590"/>
    <n v="1"/>
    <n v="628"/>
  </r>
  <r>
    <x v="43"/>
    <n v="9900"/>
    <n v="6"/>
    <n v="606"/>
  </r>
  <r>
    <x v="44"/>
    <n v="7680"/>
    <n v="4"/>
    <n v="520"/>
  </r>
  <r>
    <x v="45"/>
    <n v="6181"/>
    <n v="3"/>
    <n v="485"/>
  </r>
  <r>
    <x v="46"/>
    <n v="6825"/>
    <n v="3"/>
    <n v="439"/>
  </r>
  <r>
    <x v="47"/>
    <n v="4800"/>
    <n v="2"/>
    <n v="416"/>
  </r>
  <r>
    <x v="48"/>
    <n v="9735"/>
    <n v="4"/>
    <n v="410"/>
  </r>
  <r>
    <x v="49"/>
    <n v="4890"/>
    <n v="2"/>
    <n v="408"/>
  </r>
  <r>
    <x v="50"/>
    <n v="2550"/>
    <n v="1"/>
    <n v="392"/>
  </r>
  <r>
    <x v="51"/>
    <n v="5205"/>
    <n v="2"/>
    <n v="384"/>
  </r>
  <r>
    <x v="52"/>
    <n v="2715"/>
    <n v="1"/>
    <n v="368"/>
  </r>
  <r>
    <x v="53"/>
    <n v="2730"/>
    <n v="1"/>
    <n v="366"/>
  </r>
  <r>
    <x v="54"/>
    <n v="19815"/>
    <n v="7"/>
    <n v="353"/>
  </r>
  <r>
    <x v="55"/>
    <n v="3030"/>
    <n v="1"/>
    <n v="330"/>
  </r>
  <r>
    <x v="56"/>
    <n v="3090"/>
    <n v="1"/>
    <n v="323"/>
  </r>
  <r>
    <x v="57"/>
    <n v="9900"/>
    <n v="3"/>
    <n v="303"/>
  </r>
  <r>
    <x v="58"/>
    <n v="3510"/>
    <n v="1"/>
    <n v="284"/>
  </r>
  <r>
    <x v="59"/>
    <n v="3930"/>
    <n v="1"/>
    <n v="254"/>
  </r>
  <r>
    <x v="60"/>
    <n v="4875"/>
    <n v="1"/>
    <n v="205"/>
  </r>
  <r>
    <x v="61"/>
    <n v="4920"/>
    <n v="1"/>
    <n v="203"/>
  </r>
  <r>
    <x v="62"/>
    <n v="6330"/>
    <n v="1"/>
    <n v="157"/>
  </r>
  <r>
    <x v="63"/>
    <n v="8850"/>
    <n v="1"/>
    <n v="112"/>
  </r>
  <r>
    <x v="64"/>
    <n v="13800"/>
    <n v="0"/>
    <n v="0"/>
  </r>
  <r>
    <x v="65"/>
    <n v="2730"/>
    <n v="0"/>
    <n v="0"/>
  </r>
  <r>
    <x v="66"/>
    <n v="60"/>
    <n v="0"/>
    <n v="0"/>
  </r>
  <r>
    <x v="67"/>
    <n v="90"/>
    <n v="0"/>
    <n v="0"/>
  </r>
  <r>
    <x v="68"/>
    <n v="30"/>
    <n v="0"/>
    <n v="0"/>
  </r>
  <r>
    <x v="69"/>
    <n v="675"/>
    <n v="0"/>
    <n v="0"/>
  </r>
  <r>
    <x v="70"/>
    <n v="2340"/>
    <n v="0"/>
    <n v="0"/>
  </r>
  <r>
    <x v="71"/>
    <n v="1140"/>
    <n v="0"/>
    <n v="0"/>
  </r>
  <r>
    <x v="72"/>
    <n v="420"/>
    <n v="0"/>
    <n v="0"/>
  </r>
  <r>
    <x v="73"/>
    <n v="180"/>
    <n v="0"/>
    <n v="0"/>
  </r>
  <r>
    <x v="74"/>
    <n v="4530"/>
    <n v="0"/>
    <n v="0"/>
  </r>
  <r>
    <x v="75"/>
    <n v="60"/>
    <n v="0"/>
    <n v="0"/>
  </r>
  <r>
    <x v="76"/>
    <n v="7320"/>
    <n v="0"/>
    <n v="0"/>
  </r>
  <r>
    <x v="77"/>
    <n v="30"/>
    <n v="0"/>
    <n v="0"/>
  </r>
  <r>
    <x v="78"/>
    <n v="360"/>
    <n v="0"/>
    <n v="0"/>
  </r>
  <r>
    <x v="79"/>
    <n v="1801"/>
    <n v="0"/>
    <n v="0"/>
  </r>
  <r>
    <x v="80"/>
    <n v="60"/>
    <n v="0"/>
    <n v="0"/>
  </r>
  <r>
    <x v="81"/>
    <n v="210"/>
    <n v="0"/>
    <n v="0"/>
  </r>
  <r>
    <x v="82"/>
    <n v="30"/>
    <n v="0"/>
    <n v="0"/>
  </r>
  <r>
    <x v="83"/>
    <n v="14730"/>
    <n v="0"/>
    <n v="0"/>
  </r>
  <r>
    <x v="84"/>
    <n v="345"/>
    <n v="0"/>
    <n v="0"/>
  </r>
  <r>
    <x v="85"/>
    <n v="180"/>
    <n v="0"/>
    <n v="0"/>
  </r>
  <r>
    <x v="86"/>
    <n v="30"/>
    <n v="0"/>
    <n v="0"/>
  </r>
  <r>
    <x v="87"/>
    <n v="360"/>
    <n v="0"/>
    <n v="0"/>
  </r>
  <r>
    <x v="88"/>
    <n v="30"/>
    <n v="0"/>
    <n v="0"/>
  </r>
  <r>
    <x v="89"/>
    <n v="30"/>
    <n v="0"/>
    <n v="0"/>
  </r>
  <r>
    <x v="90"/>
    <n v="780"/>
    <n v="0"/>
    <n v="0"/>
  </r>
  <r>
    <x v="91"/>
    <n v="2760"/>
    <n v="0"/>
    <n v="0"/>
  </r>
  <r>
    <x v="92"/>
    <n v="90"/>
    <n v="0"/>
    <n v="0"/>
  </r>
  <r>
    <x v="93"/>
    <n v="60"/>
    <n v="0"/>
    <n v="0"/>
  </r>
  <r>
    <x v="94"/>
    <n v="240"/>
    <n v="0"/>
    <n v="0"/>
  </r>
  <r>
    <x v="95"/>
    <n v="30"/>
    <n v="0"/>
    <n v="0"/>
  </r>
  <r>
    <x v="96"/>
    <n v="6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7">
  <r>
    <x v="0"/>
    <n v="2190"/>
    <n v="11"/>
    <n v="5022"/>
  </r>
  <r>
    <x v="1"/>
    <n v="1368"/>
    <n v="6"/>
    <n v="4385"/>
  </r>
  <r>
    <x v="2"/>
    <n v="270"/>
    <n v="1"/>
    <n v="3703"/>
  </r>
  <r>
    <x v="3"/>
    <n v="2341"/>
    <n v="6"/>
    <n v="2563"/>
  </r>
  <r>
    <x v="4"/>
    <n v="2010"/>
    <n v="4"/>
    <n v="1990"/>
  </r>
  <r>
    <x v="5"/>
    <n v="8790"/>
    <n v="17"/>
    <n v="1934"/>
  </r>
  <r>
    <x v="6"/>
    <n v="12165"/>
    <n v="21"/>
    <n v="1726"/>
  </r>
  <r>
    <x v="7"/>
    <n v="3015"/>
    <n v="5"/>
    <n v="1658"/>
  </r>
  <r>
    <x v="8"/>
    <n v="9240"/>
    <n v="15"/>
    <n v="1623"/>
  </r>
  <r>
    <x v="9"/>
    <n v="3750"/>
    <n v="6"/>
    <n v="1600"/>
  </r>
  <r>
    <x v="10"/>
    <n v="13605"/>
    <n v="21"/>
    <n v="1543"/>
  </r>
  <r>
    <x v="11"/>
    <n v="2115"/>
    <n v="3"/>
    <n v="1418"/>
  </r>
  <r>
    <x v="12"/>
    <n v="12015"/>
    <n v="15"/>
    <n v="1248"/>
  </r>
  <r>
    <x v="13"/>
    <n v="4020"/>
    <n v="5"/>
    <n v="1243"/>
  </r>
  <r>
    <x v="14"/>
    <n v="840"/>
    <n v="1"/>
    <n v="1190"/>
  </r>
  <r>
    <x v="15"/>
    <n v="1740"/>
    <n v="2"/>
    <n v="1149"/>
  </r>
  <r>
    <x v="16"/>
    <n v="7950"/>
    <n v="9"/>
    <n v="1132"/>
  </r>
  <r>
    <x v="17"/>
    <n v="14745"/>
    <n v="15"/>
    <n v="1017"/>
  </r>
  <r>
    <x v="18"/>
    <n v="2070"/>
    <n v="2"/>
    <n v="966"/>
  </r>
  <r>
    <x v="19"/>
    <n v="25951"/>
    <n v="25"/>
    <n v="963"/>
  </r>
  <r>
    <x v="20"/>
    <n v="3240"/>
    <n v="3"/>
    <n v="925"/>
  </r>
  <r>
    <x v="21"/>
    <n v="3330"/>
    <n v="3"/>
    <n v="900"/>
  </r>
  <r>
    <x v="22"/>
    <n v="14430"/>
    <n v="13"/>
    <n v="900"/>
  </r>
  <r>
    <x v="23"/>
    <n v="15330"/>
    <n v="13"/>
    <n v="848"/>
  </r>
  <r>
    <x v="24"/>
    <n v="12315"/>
    <n v="10"/>
    <n v="812"/>
  </r>
  <r>
    <x v="25"/>
    <n v="1260"/>
    <n v="1"/>
    <n v="793"/>
  </r>
  <r>
    <x v="26"/>
    <n v="10186"/>
    <n v="8"/>
    <n v="785"/>
  </r>
  <r>
    <x v="27"/>
    <n v="3840"/>
    <n v="3"/>
    <n v="781"/>
  </r>
  <r>
    <x v="28"/>
    <n v="5130"/>
    <n v="4"/>
    <n v="779"/>
  </r>
  <r>
    <x v="29"/>
    <n v="3915"/>
    <n v="3"/>
    <n v="766"/>
  </r>
  <r>
    <x v="30"/>
    <n v="5250"/>
    <n v="4"/>
    <n v="761"/>
  </r>
  <r>
    <x v="31"/>
    <n v="1410"/>
    <n v="1"/>
    <n v="709"/>
  </r>
  <r>
    <x v="32"/>
    <n v="7800"/>
    <n v="5"/>
    <n v="641"/>
  </r>
  <r>
    <x v="33"/>
    <n v="1590"/>
    <n v="1"/>
    <n v="628"/>
  </r>
  <r>
    <x v="34"/>
    <n v="3630"/>
    <n v="2"/>
    <n v="550"/>
  </r>
  <r>
    <x v="35"/>
    <n v="7290"/>
    <n v="4"/>
    <n v="548"/>
  </r>
  <r>
    <x v="36"/>
    <n v="12855"/>
    <n v="7"/>
    <n v="544"/>
  </r>
  <r>
    <x v="37"/>
    <n v="18495"/>
    <n v="10"/>
    <n v="540"/>
  </r>
  <r>
    <x v="38"/>
    <n v="3705"/>
    <n v="2"/>
    <n v="539"/>
  </r>
  <r>
    <x v="39"/>
    <n v="10230"/>
    <n v="5"/>
    <n v="488"/>
  </r>
  <r>
    <x v="40"/>
    <n v="4245"/>
    <n v="2"/>
    <n v="471"/>
  </r>
  <r>
    <x v="41"/>
    <n v="12870"/>
    <n v="6"/>
    <n v="466"/>
  </r>
  <r>
    <x v="42"/>
    <n v="2160"/>
    <n v="1"/>
    <n v="462"/>
  </r>
  <r>
    <x v="43"/>
    <n v="6750"/>
    <n v="3"/>
    <n v="444"/>
  </r>
  <r>
    <x v="44"/>
    <n v="2445"/>
    <n v="1"/>
    <n v="408"/>
  </r>
  <r>
    <x v="45"/>
    <n v="2610"/>
    <n v="1"/>
    <n v="383"/>
  </r>
  <r>
    <x v="46"/>
    <n v="10515"/>
    <n v="4"/>
    <n v="380"/>
  </r>
  <r>
    <x v="47"/>
    <n v="13740"/>
    <n v="5"/>
    <n v="363"/>
  </r>
  <r>
    <x v="48"/>
    <n v="3300"/>
    <n v="1"/>
    <n v="303"/>
  </r>
  <r>
    <x v="49"/>
    <n v="7380"/>
    <n v="2"/>
    <n v="271"/>
  </r>
  <r>
    <x v="50"/>
    <n v="3855"/>
    <n v="1"/>
    <n v="259"/>
  </r>
  <r>
    <x v="51"/>
    <n v="5235"/>
    <n v="1"/>
    <n v="191"/>
  </r>
  <r>
    <x v="52"/>
    <n v="7290"/>
    <n v="1"/>
    <n v="137"/>
  </r>
  <r>
    <x v="53"/>
    <n v="9060"/>
    <n v="1"/>
    <n v="110"/>
  </r>
  <r>
    <x v="54"/>
    <n v="14565"/>
    <n v="1"/>
    <n v="68"/>
  </r>
  <r>
    <x v="55"/>
    <n v="300"/>
    <n v="0"/>
    <n v="0"/>
  </r>
  <r>
    <x v="56"/>
    <n v="60"/>
    <n v="0"/>
    <n v="0"/>
  </r>
  <r>
    <x v="57"/>
    <n v="135"/>
    <n v="0"/>
    <n v="0"/>
  </r>
  <r>
    <x v="58"/>
    <n v="30"/>
    <n v="0"/>
    <n v="0"/>
  </r>
  <r>
    <x v="59"/>
    <n v="330"/>
    <n v="0"/>
    <n v="0"/>
  </r>
  <r>
    <x v="24"/>
    <n v="390"/>
    <n v="0"/>
    <n v="0"/>
  </r>
  <r>
    <x v="60"/>
    <n v="2610"/>
    <n v="0"/>
    <n v="0"/>
  </r>
  <r>
    <x v="61"/>
    <n v="30"/>
    <n v="0"/>
    <n v="0"/>
  </r>
  <r>
    <x v="62"/>
    <n v="4500"/>
    <n v="0"/>
    <n v="0"/>
  </r>
  <r>
    <x v="63"/>
    <n v="210"/>
    <n v="0"/>
    <n v="0"/>
  </r>
  <r>
    <x v="64"/>
    <n v="30"/>
    <n v="0"/>
    <n v="0"/>
  </r>
  <r>
    <x v="65"/>
    <n v="150"/>
    <n v="0"/>
    <n v="0"/>
  </r>
  <r>
    <x v="66"/>
    <n v="2535"/>
    <n v="0"/>
    <n v="0"/>
  </r>
  <r>
    <x v="67"/>
    <n v="240"/>
    <n v="0"/>
    <n v="0"/>
  </r>
  <r>
    <x v="68"/>
    <n v="4020"/>
    <n v="0"/>
    <n v="0"/>
  </r>
  <r>
    <x v="69"/>
    <n v="600"/>
    <n v="0"/>
    <n v="0"/>
  </r>
  <r>
    <x v="70"/>
    <n v="60"/>
    <n v="0"/>
    <n v="0"/>
  </r>
  <r>
    <x v="71"/>
    <n v="90"/>
    <n v="0"/>
    <n v="0"/>
  </r>
  <r>
    <x v="72"/>
    <n v="1620"/>
    <n v="0"/>
    <n v="0"/>
  </r>
  <r>
    <x v="73"/>
    <n v="210"/>
    <n v="0"/>
    <n v="0"/>
  </r>
  <r>
    <x v="74"/>
    <n v="1545"/>
    <n v="0"/>
    <n v="0"/>
  </r>
  <r>
    <x v="75"/>
    <n v="1530"/>
    <n v="0"/>
    <n v="0"/>
  </r>
  <r>
    <x v="76"/>
    <n v="120"/>
    <n v="0"/>
    <n v="0"/>
  </r>
  <r>
    <x v="77"/>
    <n v="600"/>
    <n v="0"/>
    <n v="0"/>
  </r>
  <r>
    <x v="78"/>
    <n v="30"/>
    <n v="0"/>
    <n v="0"/>
  </r>
  <r>
    <x v="79"/>
    <n v="30"/>
    <n v="0"/>
    <n v="0"/>
  </r>
  <r>
    <x v="80"/>
    <n v="420"/>
    <n v="0"/>
    <n v="0"/>
  </r>
  <r>
    <x v="81"/>
    <n v="150"/>
    <n v="0"/>
    <n v="0"/>
  </r>
  <r>
    <x v="82"/>
    <n v="450"/>
    <n v="0"/>
    <n v="0"/>
  </r>
  <r>
    <x v="83"/>
    <n v="150"/>
    <n v="0"/>
    <n v="0"/>
  </r>
  <r>
    <x v="84"/>
    <n v="4710"/>
    <n v="0"/>
    <n v="0"/>
  </r>
  <r>
    <x v="85"/>
    <n v="180"/>
    <n v="0"/>
    <n v="0"/>
  </r>
  <r>
    <x v="86"/>
    <n v="7605"/>
    <n v="0"/>
    <n v="0"/>
  </r>
  <r>
    <x v="87"/>
    <n v="90"/>
    <n v="0"/>
    <n v="0"/>
  </r>
  <r>
    <x v="88"/>
    <n v="150"/>
    <n v="0"/>
    <n v="0"/>
  </r>
  <r>
    <x v="3"/>
    <n v="60"/>
    <n v="0"/>
    <n v="0"/>
  </r>
  <r>
    <x v="89"/>
    <n v="810"/>
    <n v="0"/>
    <n v="0"/>
  </r>
  <r>
    <x v="90"/>
    <n v="30"/>
    <n v="0"/>
    <n v="0"/>
  </r>
  <r>
    <x v="91"/>
    <m/>
    <m/>
    <m/>
  </r>
  <r>
    <x v="91"/>
    <m/>
    <m/>
    <m/>
  </r>
  <r>
    <x v="91"/>
    <m/>
    <m/>
    <m/>
  </r>
  <r>
    <x v="91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x v="0"/>
    <n v="270"/>
    <n v="2"/>
    <n v="7407"/>
  </r>
  <r>
    <x v="1"/>
    <n v="195"/>
    <n v="1"/>
    <n v="5128"/>
  </r>
  <r>
    <x v="2"/>
    <n v="676"/>
    <n v="3"/>
    <n v="4437"/>
  </r>
  <r>
    <x v="3"/>
    <n v="720"/>
    <n v="3"/>
    <n v="4166"/>
  </r>
  <r>
    <x v="4"/>
    <n v="330"/>
    <n v="1"/>
    <n v="3030"/>
  </r>
  <r>
    <x v="5"/>
    <n v="675"/>
    <n v="2"/>
    <n v="2962"/>
  </r>
  <r>
    <x v="6"/>
    <n v="360"/>
    <n v="1"/>
    <n v="2777"/>
  </r>
  <r>
    <x v="7"/>
    <n v="750"/>
    <n v="2"/>
    <n v="2666"/>
  </r>
  <r>
    <x v="8"/>
    <n v="420"/>
    <n v="1"/>
    <n v="2380"/>
  </r>
  <r>
    <x v="9"/>
    <n v="930"/>
    <n v="2"/>
    <n v="2150"/>
  </r>
  <r>
    <x v="10"/>
    <n v="510"/>
    <n v="1"/>
    <n v="1960"/>
  </r>
  <r>
    <x v="11"/>
    <n v="660"/>
    <n v="1"/>
    <n v="1515"/>
  </r>
  <r>
    <x v="12"/>
    <n v="720"/>
    <n v="1"/>
    <n v="1388"/>
  </r>
  <r>
    <x v="13"/>
    <n v="870"/>
    <n v="1"/>
    <n v="1149"/>
  </r>
  <r>
    <x v="14"/>
    <n v="870"/>
    <n v="1"/>
    <n v="1149"/>
  </r>
  <r>
    <x v="15"/>
    <n v="1020"/>
    <n v="1"/>
    <n v="980"/>
  </r>
  <r>
    <x v="16"/>
    <n v="1320"/>
    <n v="1"/>
    <n v="757"/>
  </r>
  <r>
    <x v="17"/>
    <n v="1620"/>
    <n v="1"/>
    <n v="617"/>
  </r>
  <r>
    <x v="18"/>
    <n v="60"/>
    <n v="0"/>
    <n v="0"/>
  </r>
  <r>
    <x v="19"/>
    <n v="720"/>
    <n v="0"/>
    <n v="0"/>
  </r>
  <r>
    <x v="20"/>
    <n v="780"/>
    <n v="0"/>
    <n v="0"/>
  </r>
  <r>
    <x v="21"/>
    <n v="90"/>
    <n v="0"/>
    <n v="0"/>
  </r>
  <r>
    <x v="22"/>
    <n v="60"/>
    <n v="0"/>
    <n v="0"/>
  </r>
  <r>
    <x v="23"/>
    <n v="240"/>
    <n v="0"/>
    <n v="0"/>
  </r>
  <r>
    <x v="24"/>
    <n v="840"/>
    <n v="0"/>
    <n v="0"/>
  </r>
  <r>
    <x v="25"/>
    <n v="75"/>
    <n v="0"/>
    <n v="0"/>
  </r>
  <r>
    <x v="26"/>
    <n v="270"/>
    <n v="0"/>
    <n v="0"/>
  </r>
  <r>
    <x v="27"/>
    <n v="30"/>
    <n v="0"/>
    <n v="0"/>
  </r>
  <r>
    <x v="28"/>
    <n v="360"/>
    <n v="0"/>
    <n v="0"/>
  </r>
  <r>
    <x v="29"/>
    <n v="90"/>
    <n v="0"/>
    <n v="0"/>
  </r>
  <r>
    <x v="30"/>
    <n v="30"/>
    <n v="0"/>
    <n v="0"/>
  </r>
  <r>
    <x v="31"/>
    <n v="240"/>
    <n v="0"/>
    <n v="0"/>
  </r>
  <r>
    <x v="32"/>
    <n v="510"/>
    <n v="0"/>
    <n v="0"/>
  </r>
  <r>
    <x v="33"/>
    <n v="540"/>
    <n v="0"/>
    <n v="0"/>
  </r>
  <r>
    <x v="34"/>
    <n v="810"/>
    <n v="0"/>
    <n v="0"/>
  </r>
  <r>
    <x v="35"/>
    <n v="45"/>
    <n v="0"/>
    <n v="0"/>
  </r>
  <r>
    <x v="36"/>
    <n v="120"/>
    <n v="0"/>
    <n v="0"/>
  </r>
  <r>
    <x v="37"/>
    <n v="240"/>
    <n v="0"/>
    <n v="0"/>
  </r>
  <r>
    <x v="38"/>
    <n v="420"/>
    <n v="0"/>
    <n v="0"/>
  </r>
  <r>
    <x v="39"/>
    <n v="900"/>
    <n v="0"/>
    <n v="0"/>
  </r>
  <r>
    <x v="40"/>
    <n v="120"/>
    <n v="0"/>
    <n v="0"/>
  </r>
  <r>
    <x v="41"/>
    <n v="480"/>
    <n v="0"/>
    <n v="0"/>
  </r>
  <r>
    <x v="42"/>
    <n v="660"/>
    <n v="0"/>
    <n v="0"/>
  </r>
  <r>
    <x v="43"/>
    <n v="870"/>
    <n v="0"/>
    <n v="0"/>
  </r>
  <r>
    <x v="44"/>
    <n v="30"/>
    <n v="0"/>
    <n v="0"/>
  </r>
  <r>
    <x v="45"/>
    <n v="105"/>
    <n v="0"/>
    <n v="0"/>
  </r>
  <r>
    <x v="46"/>
    <n v="30"/>
    <n v="0"/>
    <n v="0"/>
  </r>
  <r>
    <x v="47"/>
    <n v="225"/>
    <n v="0"/>
    <n v="0"/>
  </r>
  <r>
    <x v="48"/>
    <n v="180"/>
    <n v="0"/>
    <n v="0"/>
  </r>
  <r>
    <x v="49"/>
    <n v="1140"/>
    <n v="0"/>
    <n v="0"/>
  </r>
  <r>
    <x v="50"/>
    <n v="420"/>
    <n v="0"/>
    <n v="0"/>
  </r>
  <r>
    <x v="51"/>
    <n v="540"/>
    <n v="0"/>
    <n v="0"/>
  </r>
  <r>
    <x v="52"/>
    <n v="600"/>
    <n v="0"/>
    <n v="0"/>
  </r>
  <r>
    <x v="53"/>
    <n v="180"/>
    <n v="0"/>
    <n v="0"/>
  </r>
  <r>
    <x v="54"/>
    <n v="810"/>
    <n v="0"/>
    <n v="0"/>
  </r>
  <r>
    <x v="55"/>
    <n v="210"/>
    <n v="0"/>
    <n v="0"/>
  </r>
  <r>
    <x v="56"/>
    <n v="120"/>
    <n v="0"/>
    <n v="0"/>
  </r>
  <r>
    <x v="57"/>
    <n v="1230"/>
    <n v="0"/>
    <n v="0"/>
  </r>
  <r>
    <x v="58"/>
    <n v="630"/>
    <n v="0"/>
    <n v="0"/>
  </r>
  <r>
    <x v="59"/>
    <n v="210"/>
    <n v="0"/>
    <n v="0"/>
  </r>
  <r>
    <x v="60"/>
    <n v="60"/>
    <n v="0"/>
    <n v="0"/>
  </r>
  <r>
    <x v="61"/>
    <n v="1620"/>
    <n v="0"/>
    <n v="0"/>
  </r>
  <r>
    <x v="62"/>
    <n v="720"/>
    <n v="0"/>
    <n v="0"/>
  </r>
  <r>
    <x v="63"/>
    <n v="180"/>
    <n v="0"/>
    <n v="0"/>
  </r>
  <r>
    <x v="64"/>
    <n v="120"/>
    <n v="0"/>
    <n v="0"/>
  </r>
  <r>
    <x v="65"/>
    <n v="210"/>
    <n v="0"/>
    <n v="0"/>
  </r>
  <r>
    <x v="66"/>
    <n v="870"/>
    <n v="0"/>
    <n v="0"/>
  </r>
  <r>
    <x v="67"/>
    <n v="240"/>
    <n v="0"/>
    <n v="0"/>
  </r>
  <r>
    <x v="68"/>
    <n v="600"/>
    <n v="0"/>
    <n v="0"/>
  </r>
  <r>
    <x v="69"/>
    <n v="60"/>
    <n v="0"/>
    <n v="0"/>
  </r>
  <r>
    <x v="70"/>
    <n v="1410"/>
    <n v="0"/>
    <n v="0"/>
  </r>
  <r>
    <x v="71"/>
    <n v="210"/>
    <n v="0"/>
    <n v="0"/>
  </r>
  <r>
    <x v="72"/>
    <n v="210"/>
    <n v="0"/>
    <n v="0"/>
  </r>
  <r>
    <x v="73"/>
    <n v="300"/>
    <n v="0"/>
    <n v="0"/>
  </r>
  <r>
    <x v="74"/>
    <n v="120"/>
    <n v="0"/>
    <n v="0"/>
  </r>
  <r>
    <x v="75"/>
    <n v="210"/>
    <n v="0"/>
    <n v="0"/>
  </r>
  <r>
    <x v="76"/>
    <n v="60"/>
    <n v="0"/>
    <n v="0"/>
  </r>
  <r>
    <x v="77"/>
    <n v="270"/>
    <n v="0"/>
    <n v="0"/>
  </r>
  <r>
    <x v="78"/>
    <n v="570"/>
    <n v="0"/>
    <n v="0"/>
  </r>
  <r>
    <x v="79"/>
    <n v="570"/>
    <n v="0"/>
    <n v="0"/>
  </r>
  <r>
    <x v="80"/>
    <n v="30"/>
    <n v="0"/>
    <n v="0"/>
  </r>
  <r>
    <x v="81"/>
    <n v="240"/>
    <n v="0"/>
    <n v="0"/>
  </r>
  <r>
    <x v="82"/>
    <n v="120"/>
    <n v="0"/>
    <n v="0"/>
  </r>
  <r>
    <x v="83"/>
    <n v="135"/>
    <n v="0"/>
    <n v="0"/>
  </r>
  <r>
    <x v="84"/>
    <n v="1080"/>
    <n v="0"/>
    <n v="0"/>
  </r>
  <r>
    <x v="85"/>
    <n v="300"/>
    <n v="0"/>
    <n v="0"/>
  </r>
  <r>
    <x v="86"/>
    <n v="405"/>
    <n v="0"/>
    <n v="0"/>
  </r>
  <r>
    <x v="87"/>
    <n v="300"/>
    <n v="0"/>
    <n v="0"/>
  </r>
  <r>
    <x v="88"/>
    <n v="60"/>
    <n v="0"/>
    <n v="0"/>
  </r>
  <r>
    <x v="89"/>
    <n v="480"/>
    <n v="0"/>
    <n v="0"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105"/>
    <m/>
    <n v="105"/>
  </r>
  <r>
    <x v="1"/>
    <n v="480"/>
    <m/>
    <n v="480"/>
  </r>
  <r>
    <x v="2"/>
    <n v="300"/>
    <m/>
    <n v="300"/>
  </r>
  <r>
    <x v="3"/>
    <n v="60"/>
    <n v="900"/>
    <n v="960"/>
  </r>
  <r>
    <x v="4"/>
    <n v="1770"/>
    <m/>
    <n v="1770"/>
  </r>
  <r>
    <x v="5"/>
    <n v="60"/>
    <m/>
    <n v="60"/>
  </r>
  <r>
    <x v="6"/>
    <n v="1380"/>
    <m/>
    <n v="1380"/>
  </r>
  <r>
    <x v="7"/>
    <n v="5400"/>
    <m/>
    <n v="5400"/>
  </r>
  <r>
    <x v="8"/>
    <n v="2100"/>
    <m/>
    <n v="2100"/>
  </r>
  <r>
    <x v="9"/>
    <n v="780"/>
    <m/>
    <n v="780"/>
  </r>
  <r>
    <x v="10"/>
    <n v="660"/>
    <m/>
    <n v="660"/>
  </r>
  <r>
    <x v="11"/>
    <n v="150"/>
    <m/>
    <n v="150"/>
  </r>
  <r>
    <x v="12"/>
    <n v="210"/>
    <m/>
    <n v="210"/>
  </r>
  <r>
    <x v="13"/>
    <n v="510"/>
    <m/>
    <n v="510"/>
  </r>
  <r>
    <x v="14"/>
    <n v="420"/>
    <m/>
    <n v="420"/>
  </r>
  <r>
    <x v="15"/>
    <n v="150"/>
    <m/>
    <n v="150"/>
  </r>
  <r>
    <x v="16"/>
    <n v="60"/>
    <m/>
    <n v="60"/>
  </r>
  <r>
    <x v="17"/>
    <m/>
    <n v="330"/>
    <n v="330"/>
  </r>
  <r>
    <x v="18"/>
    <n v="480"/>
    <m/>
    <n v="480"/>
  </r>
  <r>
    <x v="19"/>
    <n v="3840"/>
    <m/>
    <n v="3840"/>
  </r>
  <r>
    <x v="20"/>
    <n v="300"/>
    <m/>
    <n v="300"/>
  </r>
  <r>
    <x v="21"/>
    <n v="150"/>
    <m/>
    <n v="150"/>
  </r>
  <r>
    <x v="22"/>
    <n v="480"/>
    <m/>
    <n v="480"/>
  </r>
  <r>
    <x v="23"/>
    <n v="150"/>
    <m/>
    <n v="150"/>
  </r>
  <r>
    <x v="24"/>
    <n v="1020"/>
    <m/>
    <n v="1020"/>
  </r>
  <r>
    <x v="25"/>
    <n v="210"/>
    <m/>
    <n v="210"/>
  </r>
  <r>
    <x v="26"/>
    <n v="4290"/>
    <m/>
    <n v="4290"/>
  </r>
  <r>
    <x v="27"/>
    <n v="150"/>
    <m/>
    <n v="150"/>
  </r>
  <r>
    <x v="28"/>
    <n v="180"/>
    <m/>
    <n v="180"/>
  </r>
  <r>
    <x v="29"/>
    <n v="360"/>
    <m/>
    <n v="360"/>
  </r>
  <r>
    <x v="30"/>
    <n v="660"/>
    <m/>
    <n v="660"/>
  </r>
  <r>
    <x v="31"/>
    <n v="3600"/>
    <m/>
    <n v="36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n v="40545"/>
    <n v="35"/>
    <n v="863"/>
    <n v="1"/>
    <n v="27585"/>
    <n v="14"/>
    <n v="507"/>
  </r>
  <r>
    <x v="1"/>
    <n v="42888"/>
    <n v="43"/>
    <n v="1002"/>
    <n v="2"/>
    <n v="36000"/>
    <n v="34"/>
    <n v="944"/>
  </r>
  <r>
    <x v="2"/>
    <n v="49876"/>
    <n v="48"/>
    <n v="962"/>
    <n v="3"/>
    <n v="34201"/>
    <n v="20"/>
    <n v="584"/>
  </r>
  <r>
    <x v="3"/>
    <n v="18885"/>
    <n v="9"/>
    <n v="476"/>
    <n v="5"/>
    <n v="300"/>
    <n v="0"/>
    <n v="0"/>
  </r>
  <r>
    <x v="4"/>
    <n v="46590"/>
    <n v="30"/>
    <n v="643"/>
    <n v="6"/>
    <n v="38550"/>
    <n v="13"/>
    <n v="337"/>
  </r>
  <r>
    <x v="5"/>
    <n v="44715"/>
    <n v="37"/>
    <n v="827"/>
    <n v="7"/>
    <n v="37890"/>
    <n v="28"/>
    <n v="738"/>
  </r>
  <r>
    <x v="6"/>
    <n v="44401"/>
    <n v="40"/>
    <n v="900"/>
    <n v="8"/>
    <n v="32371"/>
    <n v="20"/>
    <n v="617"/>
  </r>
  <r>
    <x v="7"/>
    <n v="42735"/>
    <n v="35"/>
    <n v="819"/>
    <n v="9"/>
    <n v="29925"/>
    <n v="24"/>
    <n v="802"/>
  </r>
  <r>
    <x v="8"/>
    <n v="44596"/>
    <n v="21"/>
    <n v="470"/>
    <n v="10"/>
    <n v="32716"/>
    <n v="20"/>
    <n v="611"/>
  </r>
  <r>
    <x v="9"/>
    <n v="6045"/>
    <n v="0"/>
    <n v="0"/>
    <n v="11"/>
    <n v="6345"/>
    <n v="0"/>
    <n v="0"/>
  </r>
  <r>
    <x v="10"/>
    <n v="180"/>
    <n v="0"/>
    <n v="0"/>
    <n v="12"/>
    <n v="60"/>
    <n v="0"/>
    <n v="0"/>
  </r>
  <r>
    <x v="11"/>
    <n v="36795"/>
    <n v="25"/>
    <n v="679"/>
    <n v="13"/>
    <n v="27196"/>
    <n v="20"/>
    <n v="735"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  <r>
    <x v="12"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n v="2910"/>
    <m/>
    <n v="2910"/>
  </r>
  <r>
    <x v="1"/>
    <n v="2820"/>
    <m/>
    <n v="2820"/>
  </r>
  <r>
    <x v="2"/>
    <n v="720"/>
    <m/>
    <n v="720"/>
  </r>
  <r>
    <x v="3"/>
    <n v="1110"/>
    <m/>
    <n v="1110"/>
  </r>
  <r>
    <x v="4"/>
    <n v="1320"/>
    <m/>
    <n v="1320"/>
  </r>
  <r>
    <x v="5"/>
    <n v="120"/>
    <m/>
    <n v="120"/>
  </r>
  <r>
    <x v="6"/>
    <n v="630"/>
    <m/>
    <n v="630"/>
  </r>
  <r>
    <x v="7"/>
    <n v="750"/>
    <m/>
    <n v="750"/>
  </r>
  <r>
    <x v="8"/>
    <n v="2970"/>
    <m/>
    <n v="2970"/>
  </r>
  <r>
    <x v="9"/>
    <n v="3120"/>
    <m/>
    <n v="3120"/>
  </r>
  <r>
    <x v="10"/>
    <n v="2280"/>
    <m/>
    <n v="2280"/>
  </r>
  <r>
    <x v="11"/>
    <n v="1800"/>
    <m/>
    <n v="1800"/>
  </r>
  <r>
    <x v="12"/>
    <n v="2880"/>
    <m/>
    <n v="2880"/>
  </r>
  <r>
    <x v="13"/>
    <n v="1650"/>
    <m/>
    <n v="1650"/>
  </r>
  <r>
    <x v="14"/>
    <n v="450"/>
    <m/>
    <n v="450"/>
  </r>
  <r>
    <x v="15"/>
    <n v="300"/>
    <m/>
    <n v="300"/>
  </r>
  <r>
    <x v="16"/>
    <n v="1590"/>
    <m/>
    <n v="1590"/>
  </r>
  <r>
    <x v="17"/>
    <n v="480"/>
    <m/>
    <n v="480"/>
  </r>
  <r>
    <x v="18"/>
    <n v="60"/>
    <m/>
    <n v="60"/>
  </r>
  <r>
    <x v="19"/>
    <n v="990"/>
    <m/>
    <n v="990"/>
  </r>
  <r>
    <x v="20"/>
    <n v="720"/>
    <m/>
    <n v="720"/>
  </r>
  <r>
    <x v="21"/>
    <n v="960"/>
    <m/>
    <n v="960"/>
  </r>
  <r>
    <x v="22"/>
    <m/>
    <m/>
    <n v="0"/>
  </r>
  <r>
    <x v="22"/>
    <m/>
    <m/>
    <n v="0"/>
  </r>
  <r>
    <x v="22"/>
    <m/>
    <m/>
    <n v="0"/>
  </r>
  <r>
    <x v="22"/>
    <m/>
    <m/>
    <n v="0"/>
  </r>
  <r>
    <x v="22"/>
    <m/>
    <m/>
    <n v="0"/>
  </r>
  <r>
    <x v="22"/>
    <m/>
    <m/>
    <n v="0"/>
  </r>
  <r>
    <x v="22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26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 chartFormat="2">
  <location ref="A50:D84" firstHeaderRow="1" firstDataRow="2" firstDataCol="1"/>
  <pivotFields count="4">
    <pivotField axis="axisRow" showAll="0" sortType="ascending">
      <items count="48">
        <item m="1" x="32"/>
        <item m="1" x="43"/>
        <item m="1" x="35"/>
        <item m="1" x="44"/>
        <item m="1" x="45"/>
        <item m="1" x="37"/>
        <item m="1" x="41"/>
        <item m="1" x="36"/>
        <item m="1" x="33"/>
        <item m="1" x="34"/>
        <item m="1" x="38"/>
        <item m="1" x="42"/>
        <item m="1" x="40"/>
        <item m="1" x="46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dataField="1" showAll="0"/>
    <pivotField dataField="1" showAll="0" defaultSubtotal="0"/>
  </pivotFields>
  <rowFields count="1">
    <field x="0"/>
  </rowFields>
  <rowItems count="33">
    <i>
      <x v="20"/>
    </i>
    <i>
      <x v="31"/>
    </i>
    <i>
      <x v="15"/>
    </i>
    <i>
      <x v="30"/>
    </i>
    <i>
      <x v="26"/>
    </i>
    <i>
      <x v="42"/>
    </i>
    <i>
      <x v="38"/>
    </i>
    <i>
      <x v="36"/>
    </i>
    <i>
      <x v="43"/>
    </i>
    <i>
      <x v="27"/>
    </i>
    <i>
      <x v="40"/>
    </i>
    <i>
      <x v="35"/>
    </i>
    <i>
      <x v="17"/>
    </i>
    <i>
      <x v="32"/>
    </i>
    <i>
      <x v="44"/>
    </i>
    <i>
      <x v="29"/>
    </i>
    <i>
      <x v="37"/>
    </i>
    <i>
      <x v="33"/>
    </i>
    <i>
      <x v="16"/>
    </i>
    <i>
      <x v="28"/>
    </i>
    <i>
      <x v="25"/>
    </i>
    <i>
      <x v="45"/>
    </i>
    <i>
      <x v="24"/>
    </i>
    <i>
      <x v="18"/>
    </i>
    <i>
      <x v="39"/>
    </i>
    <i>
      <x v="21"/>
    </i>
    <i>
      <x v="19"/>
    </i>
    <i>
      <x v="23"/>
    </i>
    <i>
      <x v="46"/>
    </i>
    <i>
      <x v="34"/>
    </i>
    <i>
      <x v="41"/>
    </i>
    <i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. EXTRA" fld="2" baseField="0" baseItem="0"/>
    <dataField name="Sum of T. NORMAL " fld="1" baseField="0" baseItem="0"/>
    <dataField name="Sum of TOTAL" fld="3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Equal" evalOrder="-1" id="2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29" applyNumberFormats="0" applyBorderFormats="0" applyFontFormats="0" applyPatternFormats="0" applyAlignmentFormats="0" applyWidthHeightFormats="1" dataCaption="Values" updatedVersion="7" minRefreshableVersion="3" showCalcMbrs="0" useAutoFormatting="1" rowGrandTotals="0" colGrandTotals="0" itemPrintTitles="1" createdVersion="3" indent="0" outline="1" outlineData="1" multipleFieldFilters="0">
  <location ref="A100:C113" firstHeaderRow="1" firstDataRow="2" firstDataCol="1"/>
  <pivotFields count="8">
    <pivotField axis="axisRow" showAll="0" sortType="a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dataFields count="2">
    <dataField name="Sum of PPM'S" fld="3" baseField="0" baseItem="0"/>
    <dataField name="Sum of PPM'S2" fld="7" baseField="0" baseItem="0"/>
  </dataFields>
  <pivotTableStyleInfo name="PivotStyleLight16" showRowHeaders="1" showColHeaders="1" showRowStripes="0" showColStripes="0" showLastColumn="1"/>
  <filters count="1">
    <filter fld="0" type="captionNotEqual" evalOrder="-1" id="2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32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 chartFormat="4">
  <location ref="A1:D25" firstHeaderRow="1" firstDataRow="2" firstDataCol="1"/>
  <pivotFields count="4">
    <pivotField axis="axisRow" showAll="0" sortType="ascending">
      <items count="38">
        <item x="22"/>
        <item m="1" x="33"/>
        <item m="1" x="25"/>
        <item m="1" x="34"/>
        <item m="1" x="35"/>
        <item m="1" x="27"/>
        <item m="1" x="31"/>
        <item m="1" x="26"/>
        <item m="1" x="23"/>
        <item m="1" x="24"/>
        <item m="1" x="28"/>
        <item m="1" x="32"/>
        <item m="1" x="30"/>
        <item m="1" x="36"/>
        <item m="1"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dataField="1" showAll="0"/>
    <pivotField dataField="1" showAll="0"/>
  </pivotFields>
  <rowFields count="1">
    <field x="0"/>
  </rowFields>
  <rowItems count="23">
    <i>
      <x v="33"/>
    </i>
    <i>
      <x v="20"/>
    </i>
    <i>
      <x v="30"/>
    </i>
    <i>
      <x v="29"/>
    </i>
    <i>
      <x v="32"/>
    </i>
    <i>
      <x v="21"/>
    </i>
    <i>
      <x v="17"/>
    </i>
    <i>
      <x v="35"/>
    </i>
    <i>
      <x v="22"/>
    </i>
    <i>
      <x v="36"/>
    </i>
    <i>
      <x v="34"/>
    </i>
    <i>
      <x v="18"/>
    </i>
    <i>
      <x v="19"/>
    </i>
    <i>
      <x v="31"/>
    </i>
    <i>
      <x v="28"/>
    </i>
    <i>
      <x v="26"/>
    </i>
    <i>
      <x v="25"/>
    </i>
    <i>
      <x v="16"/>
    </i>
    <i>
      <x v="27"/>
    </i>
    <i>
      <x v="15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. EXTRA" fld="2" baseField="0" baseItem="0"/>
    <dataField name="Sum of T. NORMAL " fld="1" baseField="0" baseItem="0"/>
    <dataField name="Sum of TOTAL" fld="3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1"/>
          </reference>
          <reference field="0" count="1" selected="0">
            <x v="14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1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13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1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5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2:C40" firstHeaderRow="0" firstDataRow="1" firstDataCol="1"/>
  <pivotFields count="5">
    <pivotField axis="axisRow" showAll="0" measureFilter="1" sortType="ascending">
      <items count="134">
        <item x="91"/>
        <item m="1" x="129"/>
        <item m="1" x="97"/>
        <item m="1" x="120"/>
        <item m="1" x="128"/>
        <item m="1" x="102"/>
        <item x="37"/>
        <item m="1" x="100"/>
        <item m="1" x="130"/>
        <item x="74"/>
        <item m="1" x="92"/>
        <item m="1" x="98"/>
        <item m="1" x="114"/>
        <item m="1" x="125"/>
        <item m="1" x="96"/>
        <item x="28"/>
        <item m="1" x="111"/>
        <item m="1" x="113"/>
        <item m="1" x="117"/>
        <item m="1" x="115"/>
        <item m="1" x="106"/>
        <item m="1" x="123"/>
        <item m="1" x="94"/>
        <item m="1" x="93"/>
        <item m="1" x="131"/>
        <item x="50"/>
        <item m="1" x="99"/>
        <item m="1" x="121"/>
        <item m="1" x="107"/>
        <item m="1" x="101"/>
        <item m="1" x="126"/>
        <item x="16"/>
        <item m="1" x="116"/>
        <item m="1" x="132"/>
        <item m="1" x="124"/>
        <item m="1" x="95"/>
        <item m="1" x="110"/>
        <item m="1" x="127"/>
        <item x="57"/>
        <item m="1" x="103"/>
        <item m="1" x="112"/>
        <item x="10"/>
        <item m="1" x="105"/>
        <item m="1" x="109"/>
        <item m="1" x="104"/>
        <item m="1" x="118"/>
        <item x="53"/>
        <item m="1" x="119"/>
        <item m="1" x="108"/>
        <item m="1" x="12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7"/>
        <item x="18"/>
        <item x="19"/>
        <item x="20"/>
        <item x="21"/>
        <item x="22"/>
        <item x="23"/>
        <item x="24"/>
        <item x="25"/>
        <item x="26"/>
        <item x="27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4"/>
        <item x="55"/>
        <item x="56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dataField="1" showAll="0"/>
    <pivotField dataField="1" showAll="0"/>
    <pivotField dragToRow="0" dragToCol="0" dragToPage="0" showAll="0" defaultSubtotal="0"/>
  </pivotFields>
  <rowFields count="1">
    <field x="0"/>
  </rowFields>
  <rowItems count="56">
    <i>
      <x v="98"/>
    </i>
    <i>
      <x v="46"/>
    </i>
    <i>
      <x v="97"/>
    </i>
    <i>
      <x v="96"/>
    </i>
    <i>
      <x v="25"/>
    </i>
    <i>
      <x v="95"/>
    </i>
    <i>
      <x v="94"/>
    </i>
    <i>
      <x v="93"/>
    </i>
    <i>
      <x v="92"/>
    </i>
    <i>
      <x v="91"/>
    </i>
    <i>
      <x v="90"/>
    </i>
    <i>
      <x v="89"/>
    </i>
    <i>
      <x v="88"/>
    </i>
    <i>
      <x v="87"/>
    </i>
    <i>
      <x v="86"/>
    </i>
    <i>
      <x v="85"/>
    </i>
    <i>
      <x v="84"/>
    </i>
    <i>
      <x v="6"/>
    </i>
    <i>
      <x v="83"/>
    </i>
    <i>
      <x v="82"/>
    </i>
    <i>
      <x v="81"/>
    </i>
    <i>
      <x v="80"/>
    </i>
    <i>
      <x v="79"/>
    </i>
    <i>
      <x v="78"/>
    </i>
    <i>
      <x v="77"/>
    </i>
    <i>
      <x v="76"/>
    </i>
    <i>
      <x v="15"/>
    </i>
    <i>
      <x v="75"/>
    </i>
    <i>
      <x v="74"/>
    </i>
    <i>
      <x v="73"/>
    </i>
    <i>
      <x v="72"/>
    </i>
    <i>
      <x v="71"/>
    </i>
    <i>
      <x v="69"/>
    </i>
    <i>
      <x v="70"/>
    </i>
    <i>
      <x v="68"/>
    </i>
    <i>
      <x v="67"/>
    </i>
    <i>
      <x v="66"/>
    </i>
    <i>
      <x v="65"/>
    </i>
    <i>
      <x v="31"/>
    </i>
    <i>
      <x v="64"/>
    </i>
    <i>
      <x v="63"/>
    </i>
    <i>
      <x v="62"/>
    </i>
    <i>
      <x v="61"/>
    </i>
    <i>
      <x v="60"/>
    </i>
    <i>
      <x v="41"/>
    </i>
    <i>
      <x v="59"/>
    </i>
    <i>
      <x v="58"/>
    </i>
    <i>
      <x v="57"/>
    </i>
    <i>
      <x v="56"/>
    </i>
    <i>
      <x v="55"/>
    </i>
    <i>
      <x v="54"/>
    </i>
    <i>
      <x v="53"/>
    </i>
    <i>
      <x v="52"/>
    </i>
    <i>
      <x v="51"/>
    </i>
    <i>
      <x v="5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Suma de defectos" fld="2" baseField="0" baseItem="0"/>
    <dataField name="Suma de PPM'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2" iMeasureFld="1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TablaDinámica20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">
  <location ref="A120:C139" firstHeaderRow="0" firstDataRow="1" firstDataCol="1"/>
  <pivotFields count="5">
    <pivotField axis="axisRow" showAll="0" measureFilter="1" sortType="ascending">
      <items count="138">
        <item m="1" x="110"/>
        <item m="1" x="96"/>
        <item m="1" x="99"/>
        <item m="1" x="132"/>
        <item m="1" x="111"/>
        <item m="1" x="117"/>
        <item m="1" x="102"/>
        <item m="1" x="133"/>
        <item m="1" x="91"/>
        <item m="1" x="120"/>
        <item m="1" x="116"/>
        <item m="1" x="128"/>
        <item m="1" x="115"/>
        <item m="1" x="125"/>
        <item m="1" x="136"/>
        <item m="1" x="129"/>
        <item m="1" x="94"/>
        <item m="1" x="107"/>
        <item m="1" x="114"/>
        <item m="1" x="103"/>
        <item m="1" x="135"/>
        <item m="1" x="101"/>
        <item m="1" x="126"/>
        <item m="1" x="131"/>
        <item m="1" x="104"/>
        <item m="1" x="98"/>
        <item m="1" x="97"/>
        <item m="1" x="134"/>
        <item m="1" x="100"/>
        <item m="1" x="109"/>
        <item m="1" x="130"/>
        <item m="1" x="118"/>
        <item m="1" x="124"/>
        <item m="1" x="108"/>
        <item m="1" x="106"/>
        <item m="1" x="122"/>
        <item m="1" x="113"/>
        <item m="1" x="95"/>
        <item m="1" x="92"/>
        <item m="1" x="93"/>
        <item m="1" x="112"/>
        <item m="1" x="119"/>
        <item x="90"/>
        <item m="1" x="105"/>
        <item m="1" x="121"/>
        <item m="1" x="127"/>
        <item m="1" x="1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dataField="1" showAll="0"/>
    <pivotField dataField="1" showAll="0"/>
    <pivotField dragToRow="0" dragToCol="0" dragToPage="0" showAll="0" defaultSubtotal="0"/>
  </pivotFields>
  <rowFields count="1">
    <field x="0"/>
  </rowFields>
  <rowItems count="19">
    <i>
      <x v="64"/>
    </i>
    <i>
      <x v="63"/>
    </i>
    <i>
      <x v="62"/>
    </i>
    <i>
      <x v="60"/>
    </i>
    <i>
      <x v="61"/>
    </i>
    <i>
      <x v="59"/>
    </i>
    <i>
      <x v="58"/>
    </i>
    <i>
      <x v="57"/>
    </i>
    <i>
      <x v="56"/>
    </i>
    <i>
      <x v="55"/>
    </i>
    <i>
      <x v="54"/>
    </i>
    <i>
      <x v="53"/>
    </i>
    <i>
      <x v="52"/>
    </i>
    <i>
      <x v="51"/>
    </i>
    <i>
      <x v="50"/>
    </i>
    <i>
      <x v="49"/>
    </i>
    <i>
      <x v="48"/>
    </i>
    <i>
      <x v="47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Defectos" fld="2" baseField="0" baseItem="0"/>
    <dataField name="Suma de PPM'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TablaDinámica1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80:C94" firstHeaderRow="0" firstDataRow="1" firstDataCol="1"/>
  <pivotFields count="5">
    <pivotField axis="axisRow" showAll="0" measureFilter="1" sortType="ascending">
      <items count="105">
        <item m="1" x="100"/>
        <item m="1" x="69"/>
        <item m="1" x="99"/>
        <item m="1" x="90"/>
        <item x="63"/>
        <item x="9"/>
        <item m="1" x="73"/>
        <item m="1" x="101"/>
        <item x="51"/>
        <item m="1" x="64"/>
        <item m="1" x="70"/>
        <item m="1" x="85"/>
        <item m="1" x="95"/>
        <item m="1" x="68"/>
        <item x="5"/>
        <item m="1" x="82"/>
        <item m="1" x="84"/>
        <item m="1" x="89"/>
        <item m="1" x="86"/>
        <item m="1" x="77"/>
        <item m="1" x="92"/>
        <item m="1" x="66"/>
        <item m="1" x="65"/>
        <item m="1" x="102"/>
        <item x="47"/>
        <item m="1" x="71"/>
        <item m="1" x="91"/>
        <item m="1" x="78"/>
        <item m="1" x="74"/>
        <item m="1" x="97"/>
        <item x="40"/>
        <item m="1" x="87"/>
        <item m="1" x="103"/>
        <item m="1" x="93"/>
        <item m="1" x="67"/>
        <item m="1" x="81"/>
        <item m="1" x="98"/>
        <item x="53"/>
        <item m="1" x="75"/>
        <item m="1" x="83"/>
        <item x="57"/>
        <item m="1" x="76"/>
        <item m="1" x="80"/>
        <item m="1" x="72"/>
        <item m="1" x="96"/>
        <item m="1" x="88"/>
        <item m="1" x="79"/>
        <item m="1" x="94"/>
        <item x="0"/>
        <item x="1"/>
        <item x="2"/>
        <item x="3"/>
        <item x="4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1"/>
        <item x="42"/>
        <item x="43"/>
        <item x="44"/>
        <item x="45"/>
        <item x="46"/>
        <item x="48"/>
        <item x="49"/>
        <item x="50"/>
        <item x="52"/>
        <item x="54"/>
        <item x="55"/>
        <item x="56"/>
        <item x="58"/>
        <item x="59"/>
        <item x="60"/>
        <item x="61"/>
        <item x="6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dataField="1" showAll="0"/>
    <pivotField dataField="1" showAll="0"/>
    <pivotField dragToRow="0" dragToCol="0" dragToPage="0" showAll="0" defaultSubtotal="0"/>
  </pivotFields>
  <rowFields count="1">
    <field x="0"/>
  </rowFields>
  <rowItems count="14">
    <i>
      <x v="58"/>
    </i>
    <i>
      <x v="57"/>
    </i>
    <i>
      <x v="56"/>
    </i>
    <i>
      <x v="5"/>
    </i>
    <i>
      <x v="55"/>
    </i>
    <i>
      <x v="54"/>
    </i>
    <i>
      <x v="53"/>
    </i>
    <i>
      <x v="14"/>
    </i>
    <i>
      <x v="52"/>
    </i>
    <i>
      <x v="51"/>
    </i>
    <i>
      <x v="50"/>
    </i>
    <i>
      <x v="49"/>
    </i>
    <i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Defectos" fld="2" baseField="0" baseItem="0"/>
    <dataField name="Suma de PPM'S" fld="3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1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41:C79" firstHeaderRow="0" firstDataRow="1" firstDataCol="1"/>
  <pivotFields count="5">
    <pivotField axis="axisRow" showAll="0" measureFilter="1" sortType="ascending">
      <items count="140">
        <item m="1" x="135"/>
        <item m="1" x="105"/>
        <item m="1" x="134"/>
        <item m="1" x="125"/>
        <item m="1" x="97"/>
        <item m="1" x="103"/>
        <item m="1" x="107"/>
        <item m="1" x="136"/>
        <item m="1" x="132"/>
        <item m="1" x="98"/>
        <item m="1" x="106"/>
        <item m="1" x="121"/>
        <item m="1" x="130"/>
        <item m="1" x="104"/>
        <item m="1" x="100"/>
        <item m="1" x="117"/>
        <item m="1" x="119"/>
        <item m="1" x="124"/>
        <item m="1" x="122"/>
        <item m="1" x="112"/>
        <item m="1" x="128"/>
        <item m="1" x="101"/>
        <item m="1" x="99"/>
        <item m="1" x="137"/>
        <item m="1" x="111"/>
        <item x="94"/>
        <item m="1" x="126"/>
        <item m="1" x="113"/>
        <item m="1" x="108"/>
        <item m="1" x="131"/>
        <item m="1" x="115"/>
        <item m="1" x="123"/>
        <item m="1" x="138"/>
        <item m="1" x="129"/>
        <item m="1" x="102"/>
        <item m="1" x="116"/>
        <item m="1" x="133"/>
        <item m="1" x="120"/>
        <item m="1" x="109"/>
        <item m="1" x="118"/>
        <item m="1" x="127"/>
        <item m="1" x="110"/>
        <item m="1" x="1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dataField="1" showAll="0"/>
    <pivotField dataField="1" showAll="0"/>
    <pivotField dragToRow="0" dragToCol="0" dragToPage="0" showAll="0" defaultSubtotal="0"/>
  </pivotFields>
  <rowFields count="1">
    <field x="0"/>
  </rowFields>
  <rowItems count="65">
    <i>
      <x v="106"/>
    </i>
    <i>
      <x v="105"/>
    </i>
    <i>
      <x v="104"/>
    </i>
    <i>
      <x v="103"/>
    </i>
    <i>
      <x v="102"/>
    </i>
    <i>
      <x v="101"/>
    </i>
    <i>
      <x v="100"/>
    </i>
    <i>
      <x v="99"/>
    </i>
    <i>
      <x v="98"/>
    </i>
    <i>
      <x v="97"/>
    </i>
    <i>
      <x v="96"/>
    </i>
    <i>
      <x v="95"/>
    </i>
    <i>
      <x v="94"/>
    </i>
    <i>
      <x v="93"/>
    </i>
    <i>
      <x v="92"/>
    </i>
    <i>
      <x v="91"/>
    </i>
    <i>
      <x v="90"/>
    </i>
    <i>
      <x v="89"/>
    </i>
    <i>
      <x v="88"/>
    </i>
    <i>
      <x v="87"/>
    </i>
    <i>
      <x v="86"/>
    </i>
    <i>
      <x v="85"/>
    </i>
    <i>
      <x v="84"/>
    </i>
    <i>
      <x v="83"/>
    </i>
    <i>
      <x v="82"/>
    </i>
    <i>
      <x v="81"/>
    </i>
    <i>
      <x v="80"/>
    </i>
    <i>
      <x v="79"/>
    </i>
    <i>
      <x v="78"/>
    </i>
    <i>
      <x v="77"/>
    </i>
    <i>
      <x v="76"/>
    </i>
    <i>
      <x v="75"/>
    </i>
    <i>
      <x v="74"/>
    </i>
    <i>
      <x v="73"/>
    </i>
    <i>
      <x v="72"/>
    </i>
    <i>
      <x v="71"/>
    </i>
    <i>
      <x v="70"/>
    </i>
    <i>
      <x v="69"/>
    </i>
    <i>
      <x v="68"/>
    </i>
    <i>
      <x v="67"/>
    </i>
    <i>
      <x v="66"/>
    </i>
    <i>
      <x v="65"/>
    </i>
    <i>
      <x v="64"/>
    </i>
    <i>
      <x v="63"/>
    </i>
    <i>
      <x v="62"/>
    </i>
    <i>
      <x v="61"/>
    </i>
    <i>
      <x v="60"/>
    </i>
    <i>
      <x v="59"/>
    </i>
    <i>
      <x v="58"/>
    </i>
    <i>
      <x v="57"/>
    </i>
    <i>
      <x v="55"/>
    </i>
    <i>
      <x v="56"/>
    </i>
    <i>
      <x v="54"/>
    </i>
    <i>
      <x v="53"/>
    </i>
    <i>
      <x v="52"/>
    </i>
    <i>
      <x v="51"/>
    </i>
    <i>
      <x v="50"/>
    </i>
    <i>
      <x v="49"/>
    </i>
    <i>
      <x v="48"/>
    </i>
    <i>
      <x v="47"/>
    </i>
    <i>
      <x v="46"/>
    </i>
    <i>
      <x v="45"/>
    </i>
    <i>
      <x v="44"/>
    </i>
    <i>
      <x v="4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Suma de defectos" fld="2" baseField="0" baseItem="0"/>
    <dataField name="Suma de PPM'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@steradm1n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O59"/>
  <sheetViews>
    <sheetView zoomScale="70" zoomScaleNormal="70" workbookViewId="0">
      <selection activeCell="D4" sqref="D4"/>
    </sheetView>
  </sheetViews>
  <sheetFormatPr baseColWidth="10" defaultColWidth="9.109375" defaultRowHeight="14.4" x14ac:dyDescent="0.3"/>
  <cols>
    <col min="1" max="1" width="10" bestFit="1" customWidth="1"/>
    <col min="2" max="2" width="12.6640625" customWidth="1"/>
    <col min="3" max="3" width="11.6640625" bestFit="1" customWidth="1"/>
    <col min="4" max="4" width="13.33203125" customWidth="1"/>
    <col min="5" max="5" width="11.109375" customWidth="1"/>
    <col min="6" max="6" width="12.88671875" customWidth="1"/>
    <col min="7" max="7" width="12.6640625" customWidth="1"/>
    <col min="8" max="8" width="13.109375" customWidth="1"/>
    <col min="9" max="9" width="2.88671875" style="1" customWidth="1"/>
    <col min="10" max="10" width="12.5546875" customWidth="1"/>
    <col min="11" max="11" width="13.5546875" customWidth="1"/>
    <col min="12" max="12" width="13.109375" customWidth="1"/>
    <col min="13" max="13" width="12.6640625" customWidth="1"/>
    <col min="14" max="14" width="4.6640625" customWidth="1"/>
    <col min="15" max="15" width="20" customWidth="1"/>
    <col min="16" max="16" width="13.44140625" bestFit="1" customWidth="1"/>
    <col min="17" max="18" width="13.44140625" customWidth="1"/>
    <col min="19" max="19" width="2.88671875" customWidth="1"/>
    <col min="20" max="20" width="20" customWidth="1"/>
    <col min="21" max="21" width="13.44140625" bestFit="1" customWidth="1"/>
    <col min="22" max="22" width="13.5546875" customWidth="1"/>
    <col min="23" max="23" width="13.44140625" customWidth="1"/>
    <col min="24" max="24" width="2.88671875" customWidth="1"/>
    <col min="25" max="25" width="20" customWidth="1"/>
    <col min="26" max="28" width="13.44140625" customWidth="1"/>
    <col min="30" max="30" width="12.44140625" customWidth="1"/>
    <col min="31" max="31" width="10.88671875" customWidth="1"/>
    <col min="32" max="32" width="9.6640625" customWidth="1"/>
    <col min="33" max="33" width="10.6640625" customWidth="1"/>
    <col min="34" max="34" width="12.109375" customWidth="1"/>
    <col min="37" max="37" width="11.44140625" customWidth="1"/>
  </cols>
  <sheetData>
    <row r="1" spans="1:41" ht="15" thickBot="1" x14ac:dyDescent="0.35"/>
    <row r="2" spans="1:41" ht="15.75" customHeight="1" thickBot="1" x14ac:dyDescent="0.35">
      <c r="A2" s="213" t="s">
        <v>0</v>
      </c>
      <c r="B2" s="214"/>
      <c r="C2" s="214"/>
      <c r="D2" s="215"/>
      <c r="E2" s="216" t="s">
        <v>378</v>
      </c>
      <c r="F2" s="217"/>
      <c r="G2" s="217"/>
      <c r="H2" s="218"/>
      <c r="I2" s="194"/>
      <c r="J2" s="219" t="s">
        <v>2</v>
      </c>
      <c r="K2" s="220"/>
      <c r="L2" s="220"/>
      <c r="M2" s="221"/>
      <c r="AD2" s="225" t="s">
        <v>3</v>
      </c>
      <c r="AE2" s="226"/>
      <c r="AF2" s="226"/>
      <c r="AG2" s="227"/>
      <c r="AH2" s="222" t="s">
        <v>4</v>
      </c>
      <c r="AI2" s="223"/>
      <c r="AJ2" s="223"/>
      <c r="AK2" s="224"/>
      <c r="AL2" s="222" t="s">
        <v>80</v>
      </c>
      <c r="AM2" s="223"/>
      <c r="AN2" s="223"/>
      <c r="AO2" s="224"/>
    </row>
    <row r="3" spans="1:41" ht="59.25" customHeight="1" thickBot="1" x14ac:dyDescent="0.35">
      <c r="A3" s="190" t="s">
        <v>5</v>
      </c>
      <c r="B3" s="191" t="s">
        <v>6</v>
      </c>
      <c r="C3" s="192" t="s">
        <v>7</v>
      </c>
      <c r="D3" s="193" t="s">
        <v>8</v>
      </c>
      <c r="E3" s="186" t="s">
        <v>9</v>
      </c>
      <c r="F3" s="187" t="s">
        <v>6</v>
      </c>
      <c r="G3" s="188" t="s">
        <v>7</v>
      </c>
      <c r="H3" s="189" t="s">
        <v>8</v>
      </c>
      <c r="I3" s="6"/>
      <c r="J3" s="7" t="s">
        <v>10</v>
      </c>
      <c r="K3" s="8" t="s">
        <v>11</v>
      </c>
      <c r="L3" s="195" t="s">
        <v>379</v>
      </c>
      <c r="M3" s="9" t="s">
        <v>12</v>
      </c>
      <c r="AD3" s="3" t="s">
        <v>5</v>
      </c>
      <c r="AE3" s="10" t="s">
        <v>6</v>
      </c>
      <c r="AF3" s="4" t="s">
        <v>7</v>
      </c>
      <c r="AG3" s="5" t="s">
        <v>8</v>
      </c>
      <c r="AH3" s="11" t="s">
        <v>9</v>
      </c>
      <c r="AI3" s="10" t="s">
        <v>6</v>
      </c>
      <c r="AJ3" s="4" t="s">
        <v>7</v>
      </c>
      <c r="AK3" s="5" t="s">
        <v>8</v>
      </c>
      <c r="AL3" s="11" t="s">
        <v>9</v>
      </c>
      <c r="AM3" s="10" t="s">
        <v>6</v>
      </c>
      <c r="AN3" s="4" t="s">
        <v>7</v>
      </c>
      <c r="AO3" s="5" t="s">
        <v>8</v>
      </c>
    </row>
    <row r="4" spans="1:41" ht="16.2" thickBot="1" x14ac:dyDescent="0.35">
      <c r="A4" s="12">
        <v>1</v>
      </c>
      <c r="B4" s="13">
        <v>82381</v>
      </c>
      <c r="C4" s="13">
        <v>57</v>
      </c>
      <c r="D4" s="14">
        <f>IF(B4&lt;&gt;0,C4/B4*1000000,0)</f>
        <v>691.90711450455819</v>
      </c>
      <c r="E4" s="15">
        <v>44440</v>
      </c>
      <c r="F4" s="13">
        <v>71122</v>
      </c>
      <c r="G4" s="13">
        <v>572</v>
      </c>
      <c r="H4" s="14">
        <f>IF(F4&lt;&gt;0,G4/F4*1000000,0)</f>
        <v>8042.5184893563182</v>
      </c>
      <c r="I4" s="16"/>
      <c r="J4" s="17">
        <f>B4+F4</f>
        <v>153503</v>
      </c>
      <c r="K4" s="18">
        <f>C4+G4</f>
        <v>629</v>
      </c>
      <c r="L4" s="185">
        <f>IF(J4&lt;&gt;0,K4/J4*1000000,0)</f>
        <v>4097.6397855416508</v>
      </c>
      <c r="M4" s="20">
        <f>IF(L4&lt;&gt;0,D4/L4,0)</f>
        <v>0.16885503624450429</v>
      </c>
      <c r="N4" s="21"/>
      <c r="O4" s="228" t="s">
        <v>13</v>
      </c>
      <c r="P4" s="229"/>
      <c r="Q4" s="229"/>
      <c r="R4" s="230"/>
      <c r="S4" s="22"/>
      <c r="T4" s="228" t="s">
        <v>14</v>
      </c>
      <c r="U4" s="229"/>
      <c r="V4" s="229"/>
      <c r="W4" s="230"/>
      <c r="X4" s="22"/>
      <c r="Y4" s="231" t="s">
        <v>15</v>
      </c>
      <c r="Z4" s="232"/>
      <c r="AA4" s="232"/>
      <c r="AB4" s="233"/>
      <c r="AD4" s="23">
        <v>1</v>
      </c>
      <c r="AE4" s="23">
        <v>40545</v>
      </c>
      <c r="AF4" s="23">
        <v>35</v>
      </c>
      <c r="AG4" s="24">
        <v>863</v>
      </c>
      <c r="AH4" s="23">
        <v>1</v>
      </c>
      <c r="AI4" s="23">
        <v>27585</v>
      </c>
      <c r="AJ4" s="23">
        <v>14</v>
      </c>
      <c r="AK4" s="24">
        <v>507</v>
      </c>
      <c r="AL4" s="23">
        <v>1</v>
      </c>
      <c r="AM4" s="23">
        <v>13981</v>
      </c>
      <c r="AN4" s="23">
        <v>8</v>
      </c>
      <c r="AO4" s="24">
        <v>572</v>
      </c>
    </row>
    <row r="5" spans="1:41" ht="15" thickBot="1" x14ac:dyDescent="0.35">
      <c r="A5" s="25">
        <v>2</v>
      </c>
      <c r="B5" s="13">
        <v>100053</v>
      </c>
      <c r="C5" s="13">
        <v>94</v>
      </c>
      <c r="D5" s="14">
        <f t="shared" ref="D5:D34" si="0">IF(B5&lt;&gt;0,C5/B5*1000000,0)</f>
        <v>939.50206390612982</v>
      </c>
      <c r="E5" s="15">
        <v>44441</v>
      </c>
      <c r="F5" s="13">
        <v>70438</v>
      </c>
      <c r="G5" s="13">
        <v>514</v>
      </c>
      <c r="H5" s="14">
        <f>IF(F5&lt;&gt;0,G5/F5*1000000,0)</f>
        <v>7297.1975354212209</v>
      </c>
      <c r="I5" s="16"/>
      <c r="J5" s="13">
        <f t="shared" ref="J5:L34" si="1">B5+F5</f>
        <v>170491</v>
      </c>
      <c r="K5" s="18">
        <f t="shared" si="1"/>
        <v>608</v>
      </c>
      <c r="L5" s="185">
        <f t="shared" ref="L5:L7" si="2">IF(J5&lt;&gt;0,K5/J5*1000000,0)</f>
        <v>3566.1706483040161</v>
      </c>
      <c r="M5" s="20">
        <f t="shared" ref="M5:M34" si="3">IF(L5&lt;&gt;0,D5/L5,0)</f>
        <v>0.26344843154180919</v>
      </c>
      <c r="N5" s="21"/>
      <c r="O5" s="26" t="s">
        <v>16</v>
      </c>
      <c r="P5" s="27" t="s">
        <v>17</v>
      </c>
      <c r="Q5" s="28" t="s">
        <v>18</v>
      </c>
      <c r="R5" s="28" t="s">
        <v>2</v>
      </c>
      <c r="S5" s="29"/>
      <c r="T5" s="26" t="s">
        <v>16</v>
      </c>
      <c r="U5" s="27" t="s">
        <v>17</v>
      </c>
      <c r="V5" s="28" t="s">
        <v>18</v>
      </c>
      <c r="W5" s="28" t="s">
        <v>2</v>
      </c>
      <c r="Y5" s="30" t="s">
        <v>16</v>
      </c>
      <c r="Z5" s="31" t="s">
        <v>17</v>
      </c>
      <c r="AA5" s="32" t="s">
        <v>18</v>
      </c>
      <c r="AB5" s="33" t="s">
        <v>2</v>
      </c>
      <c r="AD5" s="23">
        <v>2</v>
      </c>
      <c r="AE5" s="23">
        <v>42888</v>
      </c>
      <c r="AF5" s="23">
        <v>43</v>
      </c>
      <c r="AG5" s="24">
        <v>1002</v>
      </c>
      <c r="AH5" s="23">
        <v>2</v>
      </c>
      <c r="AI5" s="23">
        <v>36000</v>
      </c>
      <c r="AJ5" s="23">
        <v>34</v>
      </c>
      <c r="AK5" s="24">
        <v>944</v>
      </c>
      <c r="AL5" s="23">
        <v>2</v>
      </c>
      <c r="AM5" s="23">
        <v>20595</v>
      </c>
      <c r="AN5" s="23">
        <v>13</v>
      </c>
      <c r="AO5" s="24">
        <v>631</v>
      </c>
    </row>
    <row r="6" spans="1:41" ht="15" thickBot="1" x14ac:dyDescent="0.35">
      <c r="A6" s="25">
        <v>3</v>
      </c>
      <c r="B6" s="13">
        <v>100292</v>
      </c>
      <c r="C6" s="13">
        <v>79</v>
      </c>
      <c r="D6" s="14">
        <f t="shared" si="0"/>
        <v>787.69991624456588</v>
      </c>
      <c r="E6" s="15">
        <v>44442</v>
      </c>
      <c r="F6" s="13">
        <v>70776</v>
      </c>
      <c r="G6" s="13">
        <v>950</v>
      </c>
      <c r="H6" s="14">
        <f t="shared" ref="H6:H35" si="4">IF(F6&lt;&gt;0,G6/F6*1000000,0)</f>
        <v>13422.629139821409</v>
      </c>
      <c r="I6" s="16"/>
      <c r="J6" s="13">
        <f t="shared" si="1"/>
        <v>171068</v>
      </c>
      <c r="K6" s="34">
        <f t="shared" si="1"/>
        <v>1029</v>
      </c>
      <c r="L6" s="185">
        <f t="shared" si="2"/>
        <v>6015.1518694320384</v>
      </c>
      <c r="M6" s="20">
        <f t="shared" si="3"/>
        <v>0.13095262319934442</v>
      </c>
      <c r="N6" s="21"/>
      <c r="O6" s="35" t="s">
        <v>84</v>
      </c>
      <c r="P6" s="36">
        <v>2910</v>
      </c>
      <c r="Q6" s="37"/>
      <c r="R6" s="38">
        <f t="shared" ref="R6:R34" si="5">P6+Q6</f>
        <v>2910</v>
      </c>
      <c r="S6" s="39"/>
      <c r="T6" s="35" t="s">
        <v>81</v>
      </c>
      <c r="U6" s="36">
        <v>105</v>
      </c>
      <c r="V6" s="37"/>
      <c r="W6" s="38">
        <f>U6+V6</f>
        <v>105</v>
      </c>
      <c r="Y6" s="40"/>
      <c r="Z6" s="20"/>
      <c r="AA6" s="41"/>
      <c r="AB6" s="42">
        <f>Z6+AA6</f>
        <v>0</v>
      </c>
      <c r="AD6" s="23">
        <v>3</v>
      </c>
      <c r="AE6" s="23">
        <v>49876</v>
      </c>
      <c r="AF6" s="23">
        <v>48</v>
      </c>
      <c r="AG6" s="24">
        <v>962</v>
      </c>
      <c r="AH6" s="23">
        <v>3</v>
      </c>
      <c r="AI6" s="23">
        <v>34201</v>
      </c>
      <c r="AJ6" s="23">
        <v>20</v>
      </c>
      <c r="AK6" s="24">
        <v>584</v>
      </c>
      <c r="AL6" s="23">
        <v>3</v>
      </c>
      <c r="AM6" s="23">
        <v>15120</v>
      </c>
      <c r="AN6" s="23">
        <v>11</v>
      </c>
      <c r="AO6" s="24">
        <v>727</v>
      </c>
    </row>
    <row r="7" spans="1:41" ht="15" thickBot="1" x14ac:dyDescent="0.35">
      <c r="A7" s="25">
        <v>4</v>
      </c>
      <c r="B7" s="13">
        <v>50580</v>
      </c>
      <c r="C7" s="13">
        <v>29</v>
      </c>
      <c r="D7" s="14">
        <f t="shared" si="0"/>
        <v>573.34914986160538</v>
      </c>
      <c r="E7" s="15">
        <v>44443</v>
      </c>
      <c r="F7" s="13">
        <v>12258</v>
      </c>
      <c r="G7" s="13">
        <v>98</v>
      </c>
      <c r="H7" s="14">
        <f t="shared" si="4"/>
        <v>7994.7789198890514</v>
      </c>
      <c r="I7" s="16"/>
      <c r="J7" s="13">
        <f t="shared" si="1"/>
        <v>62838</v>
      </c>
      <c r="K7" s="34">
        <f t="shared" si="1"/>
        <v>127</v>
      </c>
      <c r="L7" s="185">
        <f t="shared" si="2"/>
        <v>2021.0700531525513</v>
      </c>
      <c r="M7" s="20">
        <f t="shared" si="3"/>
        <v>0.28368593605514608</v>
      </c>
      <c r="O7" s="35" t="s">
        <v>85</v>
      </c>
      <c r="P7" s="36">
        <v>2820</v>
      </c>
      <c r="Q7" s="37"/>
      <c r="R7" s="38">
        <f t="shared" si="5"/>
        <v>2820</v>
      </c>
      <c r="S7" s="39"/>
      <c r="T7" s="35" t="s">
        <v>82</v>
      </c>
      <c r="U7" s="36">
        <v>480</v>
      </c>
      <c r="V7" s="37"/>
      <c r="W7" s="38">
        <f t="shared" ref="W7:W37" si="6">U7+V7</f>
        <v>480</v>
      </c>
      <c r="Y7" s="43"/>
      <c r="Z7" s="44"/>
      <c r="AA7" s="45"/>
      <c r="AB7" s="44">
        <f t="shared" ref="AB7:AB22" si="7">Z7+AA7</f>
        <v>0</v>
      </c>
      <c r="AD7" s="23">
        <v>4</v>
      </c>
      <c r="AE7" s="23">
        <v>18885</v>
      </c>
      <c r="AF7" s="23">
        <v>9</v>
      </c>
      <c r="AG7" s="24">
        <v>476</v>
      </c>
      <c r="AH7" s="23">
        <v>5</v>
      </c>
      <c r="AI7" s="23">
        <v>300</v>
      </c>
      <c r="AJ7" s="23">
        <v>0</v>
      </c>
      <c r="AK7" s="24">
        <v>0</v>
      </c>
      <c r="AL7" s="23">
        <v>4</v>
      </c>
      <c r="AM7" s="23">
        <v>8820</v>
      </c>
      <c r="AN7" s="23">
        <v>9</v>
      </c>
      <c r="AO7" s="24">
        <v>1020</v>
      </c>
    </row>
    <row r="8" spans="1:41" ht="15" thickBot="1" x14ac:dyDescent="0.35">
      <c r="A8" s="25">
        <v>5</v>
      </c>
      <c r="B8" s="13">
        <v>300</v>
      </c>
      <c r="C8" s="13">
        <v>0</v>
      </c>
      <c r="D8" s="14">
        <f t="shared" si="0"/>
        <v>0</v>
      </c>
      <c r="E8" s="15">
        <v>44445</v>
      </c>
      <c r="F8" s="13">
        <v>74486</v>
      </c>
      <c r="G8" s="13">
        <v>974</v>
      </c>
      <c r="H8" s="14">
        <f t="shared" si="4"/>
        <v>13076.282791397041</v>
      </c>
      <c r="I8" s="16"/>
      <c r="J8" s="13">
        <f>B8+F8</f>
        <v>74786</v>
      </c>
      <c r="K8" s="34">
        <f>C8+G8</f>
        <v>974</v>
      </c>
      <c r="L8" s="185">
        <f>IF(J8&lt;&gt;0,K8/J8*1000000,0)</f>
        <v>13023.827989195837</v>
      </c>
      <c r="M8" s="20">
        <f>IF(L8&lt;&gt;0,D8/L8,0)</f>
        <v>0</v>
      </c>
      <c r="N8" s="21"/>
      <c r="O8" s="35" t="s">
        <v>89</v>
      </c>
      <c r="P8" s="36">
        <v>720</v>
      </c>
      <c r="Q8" s="37"/>
      <c r="R8" s="38">
        <f t="shared" si="5"/>
        <v>720</v>
      </c>
      <c r="S8" s="39"/>
      <c r="T8" s="35" t="s">
        <v>83</v>
      </c>
      <c r="U8" s="36">
        <v>300</v>
      </c>
      <c r="V8" s="37"/>
      <c r="W8" s="38">
        <f t="shared" si="6"/>
        <v>300</v>
      </c>
      <c r="Y8" s="43"/>
      <c r="Z8" s="44"/>
      <c r="AA8" s="45"/>
      <c r="AB8" s="44">
        <f t="shared" si="7"/>
        <v>0</v>
      </c>
      <c r="AD8" s="23">
        <v>6</v>
      </c>
      <c r="AE8" s="23">
        <v>46590</v>
      </c>
      <c r="AF8" s="23">
        <v>30</v>
      </c>
      <c r="AG8" s="24">
        <v>643</v>
      </c>
      <c r="AH8" s="23">
        <v>6</v>
      </c>
      <c r="AI8" s="23">
        <v>38550</v>
      </c>
      <c r="AJ8" s="23">
        <v>13</v>
      </c>
      <c r="AK8" s="24">
        <v>337</v>
      </c>
      <c r="AL8" s="23">
        <v>6</v>
      </c>
      <c r="AM8" s="23">
        <v>12991</v>
      </c>
      <c r="AN8" s="23">
        <v>4</v>
      </c>
      <c r="AO8" s="24">
        <v>307</v>
      </c>
    </row>
    <row r="9" spans="1:41" ht="15" thickBot="1" x14ac:dyDescent="0.35">
      <c r="A9" s="25">
        <v>6</v>
      </c>
      <c r="B9" s="13">
        <v>99586</v>
      </c>
      <c r="C9" s="13">
        <v>47</v>
      </c>
      <c r="D9" s="14">
        <f t="shared" si="0"/>
        <v>471.95388910087763</v>
      </c>
      <c r="E9" s="15">
        <v>44446</v>
      </c>
      <c r="F9" s="13">
        <v>108313</v>
      </c>
      <c r="G9" s="13">
        <v>918</v>
      </c>
      <c r="H9" s="14">
        <f t="shared" si="4"/>
        <v>8475.4369281619001</v>
      </c>
      <c r="I9" s="16"/>
      <c r="J9" s="13">
        <f>B9+F8</f>
        <v>174072</v>
      </c>
      <c r="K9" s="34">
        <f>C9+G8</f>
        <v>1021</v>
      </c>
      <c r="L9" s="185">
        <f t="shared" ref="L9:L18" si="8">IF(J9&lt;&gt;0,K9/J9*1000000,0)</f>
        <v>5865.3890344225383</v>
      </c>
      <c r="M9" s="20">
        <f t="shared" si="3"/>
        <v>8.0464208994679695E-2</v>
      </c>
      <c r="N9" s="21"/>
      <c r="O9" s="35" t="s">
        <v>91</v>
      </c>
      <c r="P9" s="36">
        <v>1110</v>
      </c>
      <c r="Q9" s="37"/>
      <c r="R9" s="38">
        <f t="shared" si="5"/>
        <v>1110</v>
      </c>
      <c r="S9" s="39"/>
      <c r="T9" s="35" t="s">
        <v>86</v>
      </c>
      <c r="U9" s="36">
        <v>60</v>
      </c>
      <c r="V9" s="37">
        <v>900</v>
      </c>
      <c r="W9" s="38">
        <f t="shared" si="6"/>
        <v>960</v>
      </c>
      <c r="Y9" s="43"/>
      <c r="Z9" s="44"/>
      <c r="AA9" s="45"/>
      <c r="AB9" s="44">
        <f t="shared" si="7"/>
        <v>0</v>
      </c>
      <c r="AD9" s="23">
        <v>7</v>
      </c>
      <c r="AE9" s="23">
        <v>44715</v>
      </c>
      <c r="AF9" s="23">
        <v>37</v>
      </c>
      <c r="AG9" s="24">
        <v>827</v>
      </c>
      <c r="AH9" s="23">
        <v>7</v>
      </c>
      <c r="AI9" s="23">
        <v>37890</v>
      </c>
      <c r="AJ9" s="23">
        <v>28</v>
      </c>
      <c r="AK9" s="24">
        <v>738</v>
      </c>
      <c r="AL9" s="23">
        <v>7</v>
      </c>
      <c r="AM9" s="23">
        <v>14238</v>
      </c>
      <c r="AN9" s="23">
        <v>10</v>
      </c>
      <c r="AO9" s="24">
        <v>702</v>
      </c>
    </row>
    <row r="10" spans="1:41" ht="15" thickBot="1" x14ac:dyDescent="0.35">
      <c r="A10" s="25">
        <v>7</v>
      </c>
      <c r="B10" s="13">
        <v>98148</v>
      </c>
      <c r="C10" s="13">
        <v>75</v>
      </c>
      <c r="D10" s="14">
        <f t="shared" si="0"/>
        <v>764.15209683335365</v>
      </c>
      <c r="E10" s="15">
        <v>44447</v>
      </c>
      <c r="F10" s="13">
        <v>79974</v>
      </c>
      <c r="G10" s="13">
        <v>806</v>
      </c>
      <c r="H10" s="14">
        <f t="shared" si="4"/>
        <v>10078.275439517844</v>
      </c>
      <c r="I10" s="16"/>
      <c r="J10" s="13">
        <f>B10+F9</f>
        <v>206461</v>
      </c>
      <c r="K10" s="34">
        <f t="shared" ref="K10:K15" si="9">C10+G9</f>
        <v>993</v>
      </c>
      <c r="L10" s="185">
        <f t="shared" si="8"/>
        <v>4809.6250623604456</v>
      </c>
      <c r="M10" s="20">
        <f t="shared" si="3"/>
        <v>0.15887976441521756</v>
      </c>
      <c r="N10" s="21"/>
      <c r="O10" s="35" t="s">
        <v>97</v>
      </c>
      <c r="P10" s="36">
        <v>1320</v>
      </c>
      <c r="Q10" s="37"/>
      <c r="R10" s="38">
        <f t="shared" si="5"/>
        <v>1320</v>
      </c>
      <c r="S10" s="39"/>
      <c r="T10" s="35" t="s">
        <v>87</v>
      </c>
      <c r="U10" s="36">
        <v>1770</v>
      </c>
      <c r="V10" s="37"/>
      <c r="W10" s="38">
        <f t="shared" si="6"/>
        <v>1770</v>
      </c>
      <c r="Y10" s="43"/>
      <c r="Z10" s="44"/>
      <c r="AA10" s="45"/>
      <c r="AB10" s="44">
        <f t="shared" si="7"/>
        <v>0</v>
      </c>
      <c r="AD10" s="23">
        <v>8</v>
      </c>
      <c r="AE10" s="23">
        <v>44401</v>
      </c>
      <c r="AF10" s="23">
        <v>40</v>
      </c>
      <c r="AG10" s="24">
        <v>900</v>
      </c>
      <c r="AH10" s="23">
        <v>8</v>
      </c>
      <c r="AI10" s="23">
        <v>32371</v>
      </c>
      <c r="AJ10" s="23">
        <v>20</v>
      </c>
      <c r="AK10" s="24">
        <v>617</v>
      </c>
      <c r="AL10" s="23">
        <v>8</v>
      </c>
      <c r="AM10" s="23">
        <v>16051</v>
      </c>
      <c r="AN10" s="23">
        <v>19</v>
      </c>
      <c r="AO10" s="24">
        <v>1183</v>
      </c>
    </row>
    <row r="11" spans="1:41" ht="15" thickBot="1" x14ac:dyDescent="0.35">
      <c r="A11" s="25">
        <v>8</v>
      </c>
      <c r="B11" s="13">
        <v>95178</v>
      </c>
      <c r="C11" s="13">
        <v>79</v>
      </c>
      <c r="D11" s="14">
        <f t="shared" si="0"/>
        <v>830.02374498308427</v>
      </c>
      <c r="E11" s="15">
        <v>44448</v>
      </c>
      <c r="F11" s="13">
        <v>81315</v>
      </c>
      <c r="G11" s="13">
        <v>683</v>
      </c>
      <c r="H11" s="14">
        <f t="shared" si="4"/>
        <v>8399.4342987148739</v>
      </c>
      <c r="I11" s="16"/>
      <c r="J11" s="13">
        <f t="shared" ref="J11:J13" si="10">B11+F10</f>
        <v>175152</v>
      </c>
      <c r="K11" s="34">
        <f t="shared" si="9"/>
        <v>885</v>
      </c>
      <c r="L11" s="185">
        <f t="shared" si="8"/>
        <v>5052.7541792271859</v>
      </c>
      <c r="M11" s="20">
        <f t="shared" si="3"/>
        <v>0.16427154687149961</v>
      </c>
      <c r="N11" s="21"/>
      <c r="O11" s="35" t="s">
        <v>103</v>
      </c>
      <c r="P11" s="36">
        <v>120</v>
      </c>
      <c r="Q11" s="37"/>
      <c r="R11" s="38">
        <f t="shared" si="5"/>
        <v>120</v>
      </c>
      <c r="S11" s="39"/>
      <c r="T11" s="35" t="s">
        <v>88</v>
      </c>
      <c r="U11" s="36">
        <v>60</v>
      </c>
      <c r="V11" s="37"/>
      <c r="W11" s="38">
        <f t="shared" si="6"/>
        <v>60</v>
      </c>
      <c r="Y11" s="43"/>
      <c r="Z11" s="44"/>
      <c r="AA11" s="45"/>
      <c r="AB11" s="44">
        <f t="shared" si="7"/>
        <v>0</v>
      </c>
      <c r="AD11" s="23">
        <v>9</v>
      </c>
      <c r="AE11" s="23">
        <v>42735</v>
      </c>
      <c r="AF11" s="23">
        <v>35</v>
      </c>
      <c r="AG11" s="24">
        <v>819</v>
      </c>
      <c r="AH11" s="23">
        <v>9</v>
      </c>
      <c r="AI11" s="23">
        <v>29925</v>
      </c>
      <c r="AJ11" s="23">
        <v>24</v>
      </c>
      <c r="AK11" s="24">
        <v>802</v>
      </c>
      <c r="AL11" s="23">
        <v>9</v>
      </c>
      <c r="AM11" s="23">
        <v>16798</v>
      </c>
      <c r="AN11" s="23">
        <v>6</v>
      </c>
      <c r="AO11" s="24">
        <v>357</v>
      </c>
    </row>
    <row r="12" spans="1:41" ht="15" thickBot="1" x14ac:dyDescent="0.35">
      <c r="A12" s="25">
        <v>9</v>
      </c>
      <c r="B12" s="13">
        <v>89953</v>
      </c>
      <c r="C12" s="13">
        <v>65</v>
      </c>
      <c r="D12" s="14">
        <f t="shared" si="0"/>
        <v>722.59957978055206</v>
      </c>
      <c r="E12" s="15">
        <v>44449</v>
      </c>
      <c r="F12" s="13">
        <v>69765</v>
      </c>
      <c r="G12" s="13">
        <v>933</v>
      </c>
      <c r="H12" s="14">
        <f t="shared" si="4"/>
        <v>13373.468071382498</v>
      </c>
      <c r="I12" s="16"/>
      <c r="J12" s="13">
        <f>B12+F11</f>
        <v>171268</v>
      </c>
      <c r="K12" s="34">
        <f t="shared" si="9"/>
        <v>748</v>
      </c>
      <c r="L12" s="185">
        <f t="shared" si="8"/>
        <v>4367.4241539575405</v>
      </c>
      <c r="M12" s="20">
        <f t="shared" si="3"/>
        <v>0.16545211875649143</v>
      </c>
      <c r="N12" s="21"/>
      <c r="O12" s="35" t="s">
        <v>104</v>
      </c>
      <c r="P12" s="36">
        <v>630</v>
      </c>
      <c r="Q12" s="37"/>
      <c r="R12" s="38">
        <f t="shared" si="5"/>
        <v>630</v>
      </c>
      <c r="S12" s="39"/>
      <c r="T12" s="35" t="s">
        <v>90</v>
      </c>
      <c r="U12" s="36">
        <v>1380</v>
      </c>
      <c r="V12" s="37"/>
      <c r="W12" s="38">
        <f t="shared" si="6"/>
        <v>1380</v>
      </c>
      <c r="Y12" s="43"/>
      <c r="Z12" s="44"/>
      <c r="AA12" s="45"/>
      <c r="AB12" s="44">
        <f t="shared" si="7"/>
        <v>0</v>
      </c>
      <c r="AD12" s="23">
        <v>10</v>
      </c>
      <c r="AE12" s="23">
        <v>44596</v>
      </c>
      <c r="AF12" s="23">
        <v>21</v>
      </c>
      <c r="AG12" s="24">
        <v>470</v>
      </c>
      <c r="AH12" s="23">
        <v>10</v>
      </c>
      <c r="AI12" s="23">
        <v>32716</v>
      </c>
      <c r="AJ12" s="23">
        <v>20</v>
      </c>
      <c r="AK12" s="24">
        <v>611</v>
      </c>
      <c r="AL12" s="23">
        <v>10</v>
      </c>
      <c r="AM12" s="23">
        <v>15065</v>
      </c>
      <c r="AN12" s="23">
        <v>11</v>
      </c>
      <c r="AO12" s="24">
        <v>730</v>
      </c>
    </row>
    <row r="13" spans="1:41" ht="15" thickBot="1" x14ac:dyDescent="0.35">
      <c r="A13" s="25">
        <v>10</v>
      </c>
      <c r="B13" s="13">
        <v>93667</v>
      </c>
      <c r="C13" s="13">
        <v>57</v>
      </c>
      <c r="D13" s="14">
        <f t="shared" si="0"/>
        <v>608.53875964854217</v>
      </c>
      <c r="E13" s="15">
        <v>44450</v>
      </c>
      <c r="F13" s="13">
        <v>17528</v>
      </c>
      <c r="G13" s="13">
        <v>363</v>
      </c>
      <c r="H13" s="14">
        <f t="shared" si="4"/>
        <v>20709.721588315839</v>
      </c>
      <c r="I13" s="16"/>
      <c r="J13" s="13">
        <f t="shared" si="10"/>
        <v>163432</v>
      </c>
      <c r="K13" s="34">
        <f t="shared" si="9"/>
        <v>990</v>
      </c>
      <c r="L13" s="185">
        <f t="shared" si="8"/>
        <v>6057.5652259043518</v>
      </c>
      <c r="M13" s="20">
        <f t="shared" si="3"/>
        <v>0.1004592995625056</v>
      </c>
      <c r="O13" s="35" t="s">
        <v>106</v>
      </c>
      <c r="P13" s="36">
        <v>750</v>
      </c>
      <c r="Q13" s="37"/>
      <c r="R13" s="38">
        <f t="shared" si="5"/>
        <v>750</v>
      </c>
      <c r="S13" s="39"/>
      <c r="T13" s="35" t="s">
        <v>92</v>
      </c>
      <c r="U13" s="36">
        <v>5400</v>
      </c>
      <c r="V13" s="37"/>
      <c r="W13" s="38">
        <f t="shared" si="6"/>
        <v>5400</v>
      </c>
      <c r="Y13" s="43"/>
      <c r="Z13" s="44"/>
      <c r="AA13" s="45"/>
      <c r="AB13" s="44">
        <f t="shared" si="7"/>
        <v>0</v>
      </c>
      <c r="AD13" s="23">
        <v>11</v>
      </c>
      <c r="AE13" s="23">
        <v>6045</v>
      </c>
      <c r="AF13" s="23">
        <v>0</v>
      </c>
      <c r="AG13" s="24">
        <v>0</v>
      </c>
      <c r="AH13" s="23">
        <v>11</v>
      </c>
      <c r="AI13" s="23">
        <v>6345</v>
      </c>
      <c r="AJ13" s="23">
        <v>0</v>
      </c>
      <c r="AK13" s="24">
        <v>0</v>
      </c>
      <c r="AL13" s="23">
        <v>11</v>
      </c>
      <c r="AM13" s="23">
        <v>4560</v>
      </c>
      <c r="AN13" s="23">
        <v>5</v>
      </c>
      <c r="AO13" s="24">
        <v>1096</v>
      </c>
    </row>
    <row r="14" spans="1:41" ht="15" thickBot="1" x14ac:dyDescent="0.35">
      <c r="A14" s="25">
        <v>11</v>
      </c>
      <c r="B14" s="13">
        <v>17370</v>
      </c>
      <c r="C14" s="13">
        <v>5</v>
      </c>
      <c r="D14" s="14">
        <f t="shared" si="0"/>
        <v>287.85261945883713</v>
      </c>
      <c r="E14" s="15">
        <v>44452</v>
      </c>
      <c r="F14" s="13">
        <v>56355</v>
      </c>
      <c r="G14" s="13">
        <v>869</v>
      </c>
      <c r="H14" s="14">
        <f t="shared" si="4"/>
        <v>15420.104693461095</v>
      </c>
      <c r="I14" s="16"/>
      <c r="J14" s="13">
        <f>B14+F13</f>
        <v>34898</v>
      </c>
      <c r="K14" s="34">
        <f t="shared" si="9"/>
        <v>368</v>
      </c>
      <c r="L14" s="185">
        <f t="shared" si="8"/>
        <v>10545.016906412975</v>
      </c>
      <c r="M14" s="20">
        <f t="shared" si="3"/>
        <v>2.7297501939876352E-2</v>
      </c>
      <c r="N14" s="21"/>
      <c r="O14" s="35" t="s">
        <v>109</v>
      </c>
      <c r="P14" s="36">
        <v>2970</v>
      </c>
      <c r="Q14" s="37"/>
      <c r="R14" s="38">
        <f t="shared" si="5"/>
        <v>2970</v>
      </c>
      <c r="S14" s="39"/>
      <c r="T14" s="35" t="s">
        <v>93</v>
      </c>
      <c r="U14" s="36">
        <v>2100</v>
      </c>
      <c r="V14" s="37"/>
      <c r="W14" s="38">
        <f t="shared" si="6"/>
        <v>2100</v>
      </c>
      <c r="Y14" s="43"/>
      <c r="Z14" s="44"/>
      <c r="AA14" s="45"/>
      <c r="AB14" s="44">
        <f t="shared" si="7"/>
        <v>0</v>
      </c>
      <c r="AD14" s="23">
        <v>12</v>
      </c>
      <c r="AE14" s="23">
        <v>180</v>
      </c>
      <c r="AF14" s="23">
        <v>0</v>
      </c>
      <c r="AG14" s="24">
        <v>0</v>
      </c>
      <c r="AH14" s="23">
        <v>12</v>
      </c>
      <c r="AI14" s="23">
        <v>60</v>
      </c>
      <c r="AJ14" s="23">
        <v>0</v>
      </c>
      <c r="AK14" s="24">
        <v>0</v>
      </c>
      <c r="AL14" s="23">
        <v>12</v>
      </c>
      <c r="AM14" s="23">
        <v>30</v>
      </c>
      <c r="AN14" s="23">
        <v>0</v>
      </c>
      <c r="AO14" s="24">
        <v>0</v>
      </c>
    </row>
    <row r="15" spans="1:41" ht="15" thickBot="1" x14ac:dyDescent="0.35">
      <c r="A15" s="25">
        <v>12</v>
      </c>
      <c r="B15" s="13">
        <v>270</v>
      </c>
      <c r="C15" s="13">
        <v>0</v>
      </c>
      <c r="D15" s="14">
        <f t="shared" si="0"/>
        <v>0</v>
      </c>
      <c r="E15" s="15"/>
      <c r="F15" s="13"/>
      <c r="G15" s="13"/>
      <c r="H15" s="14">
        <f t="shared" si="4"/>
        <v>0</v>
      </c>
      <c r="I15" s="16"/>
      <c r="J15" s="13">
        <f>B15+F14</f>
        <v>56625</v>
      </c>
      <c r="K15" s="34">
        <f t="shared" si="9"/>
        <v>869</v>
      </c>
      <c r="L15" s="185">
        <f t="shared" si="8"/>
        <v>15346.578366445916</v>
      </c>
      <c r="M15" s="20">
        <f t="shared" si="3"/>
        <v>0</v>
      </c>
      <c r="N15" s="21"/>
      <c r="O15" s="35" t="s">
        <v>117</v>
      </c>
      <c r="P15" s="36">
        <v>3120</v>
      </c>
      <c r="Q15" s="37"/>
      <c r="R15" s="38">
        <f t="shared" si="5"/>
        <v>3120</v>
      </c>
      <c r="S15" s="39"/>
      <c r="T15" s="35" t="s">
        <v>94</v>
      </c>
      <c r="U15" s="36">
        <v>780</v>
      </c>
      <c r="V15" s="37"/>
      <c r="W15" s="38">
        <f t="shared" si="6"/>
        <v>780</v>
      </c>
      <c r="Y15" s="43"/>
      <c r="Z15" s="44"/>
      <c r="AA15" s="45"/>
      <c r="AB15" s="44">
        <f t="shared" si="7"/>
        <v>0</v>
      </c>
      <c r="AD15" s="23">
        <v>13</v>
      </c>
      <c r="AE15" s="23">
        <v>36795</v>
      </c>
      <c r="AF15" s="23">
        <v>25</v>
      </c>
      <c r="AG15" s="24">
        <v>679</v>
      </c>
      <c r="AH15" s="23">
        <v>13</v>
      </c>
      <c r="AI15" s="23">
        <v>27196</v>
      </c>
      <c r="AJ15" s="23">
        <v>20</v>
      </c>
      <c r="AK15" s="24">
        <v>735</v>
      </c>
      <c r="AL15" s="23">
        <v>13</v>
      </c>
      <c r="AM15" s="23">
        <v>13740</v>
      </c>
      <c r="AN15" s="23">
        <v>6</v>
      </c>
      <c r="AO15" s="24">
        <v>436</v>
      </c>
    </row>
    <row r="16" spans="1:41" ht="15" thickBot="1" x14ac:dyDescent="0.35">
      <c r="A16" s="25">
        <v>13</v>
      </c>
      <c r="B16" s="13">
        <v>78331</v>
      </c>
      <c r="C16" s="13">
        <v>51</v>
      </c>
      <c r="D16" s="14">
        <f t="shared" si="0"/>
        <v>651.08322375560113</v>
      </c>
      <c r="E16" s="15"/>
      <c r="F16" s="13"/>
      <c r="G16" s="13"/>
      <c r="H16" s="14">
        <f t="shared" si="4"/>
        <v>0</v>
      </c>
      <c r="I16" s="16"/>
      <c r="J16" s="13">
        <f>B16+F14</f>
        <v>134686</v>
      </c>
      <c r="K16" s="34">
        <f>C16+G14</f>
        <v>920</v>
      </c>
      <c r="L16" s="185">
        <f t="shared" si="8"/>
        <v>6830.7025229051269</v>
      </c>
      <c r="M16" s="20">
        <f t="shared" si="3"/>
        <v>9.5317168559507504E-2</v>
      </c>
      <c r="O16" s="35" t="s">
        <v>119</v>
      </c>
      <c r="P16" s="36">
        <v>2280</v>
      </c>
      <c r="Q16" s="37"/>
      <c r="R16" s="38">
        <f t="shared" si="5"/>
        <v>2280</v>
      </c>
      <c r="S16" s="47"/>
      <c r="T16" s="35" t="s">
        <v>95</v>
      </c>
      <c r="U16" s="36">
        <v>660</v>
      </c>
      <c r="V16" s="37"/>
      <c r="W16" s="38">
        <f t="shared" si="6"/>
        <v>660</v>
      </c>
      <c r="Y16" s="43"/>
      <c r="Z16" s="44"/>
      <c r="AA16" s="45"/>
      <c r="AB16" s="44">
        <f t="shared" si="7"/>
        <v>0</v>
      </c>
      <c r="AD16" s="23"/>
      <c r="AE16" s="23"/>
      <c r="AF16" s="23"/>
      <c r="AG16" s="24"/>
      <c r="AH16" s="23"/>
      <c r="AI16" s="23"/>
      <c r="AJ16" s="23"/>
      <c r="AK16" s="24"/>
      <c r="AL16" s="23"/>
      <c r="AM16" s="23"/>
      <c r="AN16" s="23"/>
      <c r="AO16" s="24"/>
    </row>
    <row r="17" spans="1:41" ht="15" thickBot="1" x14ac:dyDescent="0.35">
      <c r="A17" s="25"/>
      <c r="B17" s="13"/>
      <c r="C17" s="13"/>
      <c r="D17" s="14">
        <f t="shared" si="0"/>
        <v>0</v>
      </c>
      <c r="E17" s="15"/>
      <c r="F17" s="13"/>
      <c r="G17" s="13"/>
      <c r="H17" s="14">
        <f t="shared" si="4"/>
        <v>0</v>
      </c>
      <c r="I17" s="16"/>
      <c r="J17" s="13">
        <f t="shared" si="1"/>
        <v>0</v>
      </c>
      <c r="K17" s="34">
        <f t="shared" si="1"/>
        <v>0</v>
      </c>
      <c r="L17" s="185">
        <f t="shared" si="8"/>
        <v>0</v>
      </c>
      <c r="M17" s="20">
        <f t="shared" si="3"/>
        <v>0</v>
      </c>
      <c r="O17" s="35" t="s">
        <v>122</v>
      </c>
      <c r="P17" s="36">
        <v>1800</v>
      </c>
      <c r="Q17" s="37"/>
      <c r="R17" s="38">
        <f t="shared" si="5"/>
        <v>1800</v>
      </c>
      <c r="S17" s="47"/>
      <c r="T17" s="35" t="s">
        <v>96</v>
      </c>
      <c r="U17" s="36">
        <v>150</v>
      </c>
      <c r="V17" s="37"/>
      <c r="W17" s="38">
        <f t="shared" si="6"/>
        <v>150</v>
      </c>
      <c r="Y17" s="43"/>
      <c r="Z17" s="44"/>
      <c r="AA17" s="45"/>
      <c r="AB17" s="44">
        <f t="shared" si="7"/>
        <v>0</v>
      </c>
      <c r="AD17" s="23"/>
      <c r="AE17" s="23"/>
      <c r="AF17" s="23"/>
      <c r="AG17" s="24"/>
      <c r="AH17" s="23"/>
      <c r="AI17" s="23"/>
      <c r="AJ17" s="23"/>
      <c r="AK17" s="24"/>
      <c r="AL17" s="23"/>
      <c r="AM17" s="23"/>
      <c r="AN17" s="23"/>
      <c r="AO17" s="24"/>
    </row>
    <row r="18" spans="1:41" ht="15" thickBot="1" x14ac:dyDescent="0.35">
      <c r="A18" s="25"/>
      <c r="B18" s="13"/>
      <c r="C18" s="13"/>
      <c r="D18" s="14">
        <f t="shared" si="0"/>
        <v>0</v>
      </c>
      <c r="E18" s="15"/>
      <c r="F18" s="13"/>
      <c r="G18" s="13"/>
      <c r="H18" s="14">
        <f t="shared" si="4"/>
        <v>0</v>
      </c>
      <c r="I18" s="16"/>
      <c r="J18" s="13">
        <f t="shared" si="1"/>
        <v>0</v>
      </c>
      <c r="K18" s="34">
        <f t="shared" si="1"/>
        <v>0</v>
      </c>
      <c r="L18" s="185">
        <f t="shared" si="8"/>
        <v>0</v>
      </c>
      <c r="M18" s="20">
        <f t="shared" si="3"/>
        <v>0</v>
      </c>
      <c r="O18" s="35" t="s">
        <v>123</v>
      </c>
      <c r="P18" s="36">
        <v>2880</v>
      </c>
      <c r="Q18" s="37"/>
      <c r="R18" s="38">
        <f t="shared" si="5"/>
        <v>2880</v>
      </c>
      <c r="S18" s="48"/>
      <c r="T18" s="35" t="s">
        <v>98</v>
      </c>
      <c r="U18" s="36">
        <v>210</v>
      </c>
      <c r="V18" s="37"/>
      <c r="W18" s="38">
        <f t="shared" si="6"/>
        <v>210</v>
      </c>
      <c r="Y18" s="43"/>
      <c r="Z18" s="44"/>
      <c r="AA18" s="45"/>
      <c r="AB18" s="44">
        <f t="shared" si="7"/>
        <v>0</v>
      </c>
      <c r="AD18" s="23"/>
      <c r="AE18" s="23"/>
      <c r="AF18" s="23"/>
      <c r="AG18" s="24"/>
      <c r="AH18" s="23"/>
      <c r="AI18" s="23"/>
      <c r="AJ18" s="23"/>
      <c r="AK18" s="24"/>
      <c r="AL18" s="23"/>
      <c r="AM18" s="23"/>
      <c r="AN18" s="23"/>
      <c r="AO18" s="24"/>
    </row>
    <row r="19" spans="1:41" ht="15" thickBot="1" x14ac:dyDescent="0.35">
      <c r="A19" s="25"/>
      <c r="B19" s="13"/>
      <c r="C19" s="13"/>
      <c r="D19" s="14">
        <f t="shared" si="0"/>
        <v>0</v>
      </c>
      <c r="E19" s="15"/>
      <c r="F19" s="13"/>
      <c r="G19" s="13"/>
      <c r="H19" s="14">
        <f t="shared" si="4"/>
        <v>0</v>
      </c>
      <c r="I19" s="16"/>
      <c r="J19" s="13">
        <f t="shared" si="1"/>
        <v>0</v>
      </c>
      <c r="K19" s="34">
        <f t="shared" si="1"/>
        <v>0</v>
      </c>
      <c r="L19" s="185">
        <f t="shared" si="1"/>
        <v>0</v>
      </c>
      <c r="M19" s="20">
        <f t="shared" si="3"/>
        <v>0</v>
      </c>
      <c r="O19" s="35" t="s">
        <v>125</v>
      </c>
      <c r="P19" s="36">
        <v>1650</v>
      </c>
      <c r="Q19" s="37"/>
      <c r="R19" s="38">
        <f t="shared" si="5"/>
        <v>1650</v>
      </c>
      <c r="T19" s="35" t="s">
        <v>99</v>
      </c>
      <c r="U19" s="36">
        <v>510</v>
      </c>
      <c r="V19" s="37"/>
      <c r="W19" s="38">
        <f t="shared" si="6"/>
        <v>510</v>
      </c>
      <c r="Y19" s="49"/>
      <c r="Z19" s="44"/>
      <c r="AA19" s="45"/>
      <c r="AB19" s="44">
        <f t="shared" si="7"/>
        <v>0</v>
      </c>
      <c r="AD19" s="23"/>
      <c r="AE19" s="23"/>
      <c r="AF19" s="23"/>
      <c r="AG19" s="24"/>
      <c r="AH19" s="23"/>
      <c r="AI19" s="23"/>
      <c r="AJ19" s="23"/>
      <c r="AK19" s="24"/>
      <c r="AL19" s="23"/>
      <c r="AM19" s="23"/>
      <c r="AN19" s="23"/>
      <c r="AO19" s="24"/>
    </row>
    <row r="20" spans="1:41" ht="15" thickBot="1" x14ac:dyDescent="0.35">
      <c r="A20" s="25"/>
      <c r="B20" s="13"/>
      <c r="C20" s="13"/>
      <c r="D20" s="14">
        <f t="shared" si="0"/>
        <v>0</v>
      </c>
      <c r="E20" s="15"/>
      <c r="F20" s="13"/>
      <c r="G20" s="13"/>
      <c r="H20" s="14">
        <f t="shared" si="4"/>
        <v>0</v>
      </c>
      <c r="I20" s="16"/>
      <c r="J20" s="13">
        <f t="shared" si="1"/>
        <v>0</v>
      </c>
      <c r="K20" s="34">
        <f t="shared" si="1"/>
        <v>0</v>
      </c>
      <c r="L20" s="19">
        <f t="shared" si="1"/>
        <v>0</v>
      </c>
      <c r="M20" s="20">
        <f t="shared" si="3"/>
        <v>0</v>
      </c>
      <c r="O20" s="46" t="s">
        <v>126</v>
      </c>
      <c r="P20" s="36">
        <v>450</v>
      </c>
      <c r="Q20" s="37"/>
      <c r="R20" s="38">
        <f t="shared" si="5"/>
        <v>450</v>
      </c>
      <c r="T20" s="46" t="s">
        <v>100</v>
      </c>
      <c r="U20" s="36">
        <v>420</v>
      </c>
      <c r="V20" s="37"/>
      <c r="W20" s="38">
        <f t="shared" si="6"/>
        <v>420</v>
      </c>
      <c r="Y20" s="49"/>
      <c r="Z20" s="44"/>
      <c r="AA20" s="45"/>
      <c r="AB20" s="44">
        <f t="shared" si="7"/>
        <v>0</v>
      </c>
      <c r="AD20" s="23"/>
      <c r="AE20" s="23"/>
      <c r="AF20" s="23"/>
      <c r="AG20" s="24"/>
      <c r="AH20" s="23"/>
      <c r="AI20" s="23"/>
      <c r="AJ20" s="23"/>
      <c r="AK20" s="24"/>
      <c r="AL20" s="23"/>
      <c r="AM20" s="23"/>
      <c r="AN20" s="23"/>
      <c r="AO20" s="24"/>
    </row>
    <row r="21" spans="1:41" ht="15" thickBot="1" x14ac:dyDescent="0.35">
      <c r="A21" s="25"/>
      <c r="B21" s="13"/>
      <c r="C21" s="13"/>
      <c r="D21" s="14">
        <f t="shared" si="0"/>
        <v>0</v>
      </c>
      <c r="E21" s="15"/>
      <c r="F21" s="13"/>
      <c r="G21" s="13"/>
      <c r="H21" s="14">
        <f t="shared" si="4"/>
        <v>0</v>
      </c>
      <c r="I21" s="16"/>
      <c r="J21" s="13">
        <f t="shared" si="1"/>
        <v>0</v>
      </c>
      <c r="K21" s="34">
        <f t="shared" si="1"/>
        <v>0</v>
      </c>
      <c r="L21" s="19">
        <f t="shared" si="1"/>
        <v>0</v>
      </c>
      <c r="M21" s="20">
        <f t="shared" si="3"/>
        <v>0</v>
      </c>
      <c r="O21" s="35" t="s">
        <v>128</v>
      </c>
      <c r="P21" s="36">
        <v>300</v>
      </c>
      <c r="Q21" s="37"/>
      <c r="R21" s="38">
        <f t="shared" si="5"/>
        <v>300</v>
      </c>
      <c r="S21" s="50"/>
      <c r="T21" s="46" t="s">
        <v>101</v>
      </c>
      <c r="U21" s="36">
        <v>150</v>
      </c>
      <c r="V21" s="37"/>
      <c r="W21" s="38">
        <f t="shared" si="6"/>
        <v>150</v>
      </c>
      <c r="Y21" s="51"/>
      <c r="Z21" s="44"/>
      <c r="AA21" s="45"/>
      <c r="AB21" s="44">
        <f t="shared" si="7"/>
        <v>0</v>
      </c>
      <c r="AD21" s="23"/>
      <c r="AE21" s="23"/>
      <c r="AF21" s="23"/>
      <c r="AG21" s="24"/>
      <c r="AH21" s="23"/>
      <c r="AI21" s="23"/>
      <c r="AJ21" s="23"/>
      <c r="AK21" s="24"/>
      <c r="AL21" s="23"/>
      <c r="AM21" s="23"/>
      <c r="AN21" s="23"/>
      <c r="AO21" s="24"/>
    </row>
    <row r="22" spans="1:41" ht="15" thickBot="1" x14ac:dyDescent="0.35">
      <c r="A22" s="25"/>
      <c r="B22" s="13"/>
      <c r="C22" s="13"/>
      <c r="D22" s="14">
        <f t="shared" si="0"/>
        <v>0</v>
      </c>
      <c r="E22" s="15"/>
      <c r="F22" s="13"/>
      <c r="G22" s="13"/>
      <c r="H22" s="14">
        <f t="shared" si="4"/>
        <v>0</v>
      </c>
      <c r="I22" s="16"/>
      <c r="J22" s="13">
        <f t="shared" si="1"/>
        <v>0</v>
      </c>
      <c r="K22" s="34">
        <f t="shared" si="1"/>
        <v>0</v>
      </c>
      <c r="L22" s="19">
        <f t="shared" si="1"/>
        <v>0</v>
      </c>
      <c r="M22" s="20">
        <f t="shared" si="3"/>
        <v>0</v>
      </c>
      <c r="O22" s="35" t="s">
        <v>130</v>
      </c>
      <c r="P22" s="36">
        <v>1590</v>
      </c>
      <c r="Q22" s="37"/>
      <c r="R22" s="38">
        <f t="shared" si="5"/>
        <v>1590</v>
      </c>
      <c r="S22" s="52"/>
      <c r="T22" s="46" t="s">
        <v>102</v>
      </c>
      <c r="U22" s="36">
        <v>60</v>
      </c>
      <c r="V22" s="37"/>
      <c r="W22" s="38">
        <f t="shared" si="6"/>
        <v>60</v>
      </c>
      <c r="Y22" s="53"/>
      <c r="Z22" s="54"/>
      <c r="AA22" s="55"/>
      <c r="AB22" s="56">
        <f t="shared" si="7"/>
        <v>0</v>
      </c>
      <c r="AD22" s="23"/>
      <c r="AE22" s="23"/>
      <c r="AF22" s="23"/>
      <c r="AG22" s="24"/>
      <c r="AH22" s="23"/>
      <c r="AI22" s="23"/>
      <c r="AJ22" s="23"/>
      <c r="AK22" s="24"/>
      <c r="AL22" s="23"/>
      <c r="AM22" s="23"/>
      <c r="AN22" s="23"/>
      <c r="AO22" s="24"/>
    </row>
    <row r="23" spans="1:41" ht="15" thickBot="1" x14ac:dyDescent="0.35">
      <c r="A23" s="25"/>
      <c r="B23" s="13"/>
      <c r="C23" s="13"/>
      <c r="D23" s="14">
        <f t="shared" si="0"/>
        <v>0</v>
      </c>
      <c r="E23" s="15"/>
      <c r="F23" s="13"/>
      <c r="G23" s="13"/>
      <c r="H23" s="14">
        <f t="shared" si="4"/>
        <v>0</v>
      </c>
      <c r="I23" s="16"/>
      <c r="J23" s="13">
        <f t="shared" si="1"/>
        <v>0</v>
      </c>
      <c r="K23" s="34">
        <f t="shared" si="1"/>
        <v>0</v>
      </c>
      <c r="L23" s="19">
        <f t="shared" si="1"/>
        <v>0</v>
      </c>
      <c r="M23" s="20">
        <f t="shared" si="3"/>
        <v>0</v>
      </c>
      <c r="O23" s="35" t="s">
        <v>132</v>
      </c>
      <c r="P23" s="36">
        <v>480</v>
      </c>
      <c r="Q23" s="37"/>
      <c r="R23" s="38">
        <f t="shared" si="5"/>
        <v>480</v>
      </c>
      <c r="S23" s="57"/>
      <c r="T23" s="46" t="s">
        <v>105</v>
      </c>
      <c r="U23" s="36"/>
      <c r="V23" s="37">
        <v>330</v>
      </c>
      <c r="W23" s="38">
        <f t="shared" si="6"/>
        <v>330</v>
      </c>
      <c r="Y23" s="58" t="s">
        <v>19</v>
      </c>
      <c r="Z23" s="59">
        <f>SUM(Z6:Z22)</f>
        <v>0</v>
      </c>
      <c r="AA23" s="59">
        <f>SUM(AA6:AA22)</f>
        <v>0</v>
      </c>
      <c r="AB23" s="59">
        <f>SUM(AB6:AB22)</f>
        <v>0</v>
      </c>
      <c r="AD23" s="23"/>
      <c r="AE23" s="23"/>
      <c r="AF23" s="23"/>
      <c r="AG23" s="24"/>
      <c r="AH23" s="23"/>
      <c r="AI23" s="23"/>
      <c r="AJ23" s="23"/>
      <c r="AK23" s="24"/>
      <c r="AL23" s="23"/>
      <c r="AM23" s="23"/>
      <c r="AN23" s="23"/>
      <c r="AO23" s="24"/>
    </row>
    <row r="24" spans="1:41" ht="15" thickBot="1" x14ac:dyDescent="0.35">
      <c r="A24" s="25"/>
      <c r="B24" s="13"/>
      <c r="C24" s="13"/>
      <c r="D24" s="14">
        <f t="shared" si="0"/>
        <v>0</v>
      </c>
      <c r="E24" s="15"/>
      <c r="F24" s="13"/>
      <c r="G24" s="13"/>
      <c r="H24" s="14">
        <f t="shared" si="4"/>
        <v>0</v>
      </c>
      <c r="I24" s="16"/>
      <c r="J24" s="13">
        <f t="shared" si="1"/>
        <v>0</v>
      </c>
      <c r="K24" s="34">
        <f t="shared" si="1"/>
        <v>0</v>
      </c>
      <c r="L24" s="19">
        <f t="shared" si="1"/>
        <v>0</v>
      </c>
      <c r="M24" s="20">
        <f t="shared" si="3"/>
        <v>0</v>
      </c>
      <c r="O24" s="35" t="s">
        <v>135</v>
      </c>
      <c r="P24" s="36">
        <v>60</v>
      </c>
      <c r="Q24" s="37"/>
      <c r="R24" s="38">
        <f t="shared" si="5"/>
        <v>60</v>
      </c>
      <c r="S24" s="57"/>
      <c r="T24" s="46" t="s">
        <v>107</v>
      </c>
      <c r="U24" s="36">
        <v>480</v>
      </c>
      <c r="V24" s="37"/>
      <c r="W24" s="38">
        <f t="shared" si="6"/>
        <v>480</v>
      </c>
      <c r="AD24" s="23"/>
      <c r="AE24" s="23"/>
      <c r="AF24" s="23"/>
      <c r="AG24" s="24"/>
      <c r="AH24" s="23"/>
      <c r="AI24" s="23"/>
      <c r="AJ24" s="23"/>
      <c r="AK24" s="24"/>
      <c r="AL24" s="23"/>
      <c r="AM24" s="23"/>
      <c r="AN24" s="23"/>
      <c r="AO24" s="24"/>
    </row>
    <row r="25" spans="1:41" ht="15" thickBot="1" x14ac:dyDescent="0.35">
      <c r="A25" s="25"/>
      <c r="B25" s="60"/>
      <c r="C25" s="60"/>
      <c r="D25" s="14">
        <f t="shared" si="0"/>
        <v>0</v>
      </c>
      <c r="E25" s="60"/>
      <c r="F25" s="60"/>
      <c r="G25" s="60"/>
      <c r="H25" s="14">
        <f t="shared" si="4"/>
        <v>0</v>
      </c>
      <c r="I25" s="16"/>
      <c r="J25" s="13">
        <f t="shared" si="1"/>
        <v>0</v>
      </c>
      <c r="K25" s="34">
        <f t="shared" si="1"/>
        <v>0</v>
      </c>
      <c r="L25" s="19">
        <f t="shared" si="1"/>
        <v>0</v>
      </c>
      <c r="M25" s="20">
        <f t="shared" si="3"/>
        <v>0</v>
      </c>
      <c r="O25" s="35" t="s">
        <v>137</v>
      </c>
      <c r="P25" s="36">
        <v>990</v>
      </c>
      <c r="Q25" s="37"/>
      <c r="R25" s="38">
        <f t="shared" si="5"/>
        <v>990</v>
      </c>
      <c r="S25" s="57"/>
      <c r="T25" s="46" t="s">
        <v>108</v>
      </c>
      <c r="U25" s="36">
        <v>3840</v>
      </c>
      <c r="V25" s="37"/>
      <c r="W25" s="38">
        <f t="shared" si="6"/>
        <v>3840</v>
      </c>
      <c r="AD25" s="23"/>
      <c r="AE25" s="23"/>
      <c r="AF25" s="23"/>
      <c r="AG25" s="24"/>
      <c r="AH25" s="23"/>
      <c r="AI25" s="23"/>
      <c r="AJ25" s="23"/>
      <c r="AK25" s="24"/>
      <c r="AL25" s="23"/>
      <c r="AM25" s="23"/>
      <c r="AN25" s="23"/>
      <c r="AO25" s="24"/>
    </row>
    <row r="26" spans="1:41" ht="15" thickBot="1" x14ac:dyDescent="0.35">
      <c r="A26" s="25"/>
      <c r="B26" s="13"/>
      <c r="C26" s="13"/>
      <c r="D26" s="14">
        <f t="shared" si="0"/>
        <v>0</v>
      </c>
      <c r="E26" s="13"/>
      <c r="F26" s="13"/>
      <c r="G26" s="13"/>
      <c r="H26" s="14">
        <f t="shared" si="4"/>
        <v>0</v>
      </c>
      <c r="I26" s="16"/>
      <c r="J26" s="13">
        <f t="shared" si="1"/>
        <v>0</v>
      </c>
      <c r="K26" s="34">
        <f t="shared" si="1"/>
        <v>0</v>
      </c>
      <c r="L26" s="19">
        <f t="shared" si="1"/>
        <v>0</v>
      </c>
      <c r="M26" s="20">
        <f t="shared" si="3"/>
        <v>0</v>
      </c>
      <c r="O26" s="35" t="s">
        <v>142</v>
      </c>
      <c r="P26" s="36">
        <v>720</v>
      </c>
      <c r="Q26" s="37"/>
      <c r="R26" s="38">
        <f t="shared" si="5"/>
        <v>720</v>
      </c>
      <c r="S26" s="57"/>
      <c r="T26" s="46" t="s">
        <v>110</v>
      </c>
      <c r="U26" s="36">
        <v>300</v>
      </c>
      <c r="V26" s="37"/>
      <c r="W26" s="38">
        <f t="shared" si="6"/>
        <v>300</v>
      </c>
      <c r="AD26" s="23"/>
      <c r="AE26" s="23"/>
      <c r="AF26" s="23"/>
      <c r="AG26" s="24"/>
      <c r="AH26" s="23"/>
      <c r="AI26" s="23"/>
      <c r="AJ26" s="23"/>
      <c r="AK26" s="24"/>
      <c r="AL26" s="23"/>
      <c r="AM26" s="23"/>
      <c r="AN26" s="23"/>
      <c r="AO26" s="24"/>
    </row>
    <row r="27" spans="1:41" ht="15" thickBot="1" x14ac:dyDescent="0.35">
      <c r="A27" s="25"/>
      <c r="B27" s="13"/>
      <c r="C27" s="13"/>
      <c r="D27" s="14">
        <f t="shared" si="0"/>
        <v>0</v>
      </c>
      <c r="E27" s="13"/>
      <c r="F27" s="13"/>
      <c r="G27" s="13"/>
      <c r="H27" s="14">
        <f t="shared" si="4"/>
        <v>0</v>
      </c>
      <c r="I27" s="16"/>
      <c r="J27" s="13">
        <f t="shared" si="1"/>
        <v>0</v>
      </c>
      <c r="K27" s="34">
        <f t="shared" si="1"/>
        <v>0</v>
      </c>
      <c r="L27" s="19">
        <f t="shared" si="1"/>
        <v>0</v>
      </c>
      <c r="M27" s="20">
        <f t="shared" si="3"/>
        <v>0</v>
      </c>
      <c r="O27" s="35" t="s">
        <v>146</v>
      </c>
      <c r="P27" s="36">
        <v>960</v>
      </c>
      <c r="Q27" s="37"/>
      <c r="R27" s="38">
        <f t="shared" si="5"/>
        <v>960</v>
      </c>
      <c r="S27" s="57"/>
      <c r="T27" s="46" t="s">
        <v>111</v>
      </c>
      <c r="U27" s="36">
        <v>150</v>
      </c>
      <c r="V27" s="37"/>
      <c r="W27" s="38">
        <f t="shared" si="6"/>
        <v>150</v>
      </c>
      <c r="AD27" s="23"/>
      <c r="AE27" s="23"/>
      <c r="AF27" s="23"/>
      <c r="AG27" s="24"/>
      <c r="AH27" s="23"/>
      <c r="AI27" s="23"/>
      <c r="AJ27" s="23"/>
      <c r="AK27" s="24"/>
      <c r="AL27" s="23"/>
      <c r="AM27" s="23"/>
      <c r="AN27" s="23"/>
      <c r="AO27" s="24"/>
    </row>
    <row r="28" spans="1:41" ht="15" thickBot="1" x14ac:dyDescent="0.35">
      <c r="A28" s="25"/>
      <c r="B28" s="13"/>
      <c r="C28" s="13"/>
      <c r="D28" s="14">
        <f t="shared" si="0"/>
        <v>0</v>
      </c>
      <c r="E28" s="13"/>
      <c r="F28" s="13"/>
      <c r="G28" s="13"/>
      <c r="H28" s="14">
        <f t="shared" si="4"/>
        <v>0</v>
      </c>
      <c r="I28" s="16"/>
      <c r="J28" s="13">
        <f t="shared" si="1"/>
        <v>0</v>
      </c>
      <c r="K28" s="34">
        <f t="shared" si="1"/>
        <v>0</v>
      </c>
      <c r="L28" s="19">
        <f t="shared" si="1"/>
        <v>0</v>
      </c>
      <c r="M28" s="20">
        <f t="shared" si="3"/>
        <v>0</v>
      </c>
      <c r="O28" s="35"/>
      <c r="P28" s="36"/>
      <c r="Q28" s="37"/>
      <c r="R28" s="38">
        <f t="shared" si="5"/>
        <v>0</v>
      </c>
      <c r="S28" s="52"/>
      <c r="T28" s="46" t="s">
        <v>112</v>
      </c>
      <c r="U28" s="36">
        <v>480</v>
      </c>
      <c r="V28" s="37"/>
      <c r="W28" s="38">
        <f t="shared" si="6"/>
        <v>480</v>
      </c>
      <c r="AD28" s="23"/>
      <c r="AE28" s="23"/>
      <c r="AF28" s="23"/>
      <c r="AG28" s="24"/>
      <c r="AH28" s="23"/>
      <c r="AI28" s="23"/>
      <c r="AJ28" s="23"/>
      <c r="AK28" s="24"/>
      <c r="AL28" s="23"/>
      <c r="AM28" s="23"/>
      <c r="AN28" s="23"/>
      <c r="AO28" s="24"/>
    </row>
    <row r="29" spans="1:41" ht="15.75" customHeight="1" thickBot="1" x14ac:dyDescent="0.35">
      <c r="A29" s="25"/>
      <c r="B29" s="13"/>
      <c r="C29" s="13"/>
      <c r="D29" s="14">
        <f t="shared" si="0"/>
        <v>0</v>
      </c>
      <c r="E29" s="13"/>
      <c r="F29" s="13"/>
      <c r="G29" s="13"/>
      <c r="H29" s="14">
        <f t="shared" si="4"/>
        <v>0</v>
      </c>
      <c r="I29" s="16"/>
      <c r="J29" s="13">
        <f t="shared" si="1"/>
        <v>0</v>
      </c>
      <c r="K29" s="34">
        <f t="shared" si="1"/>
        <v>0</v>
      </c>
      <c r="L29" s="19">
        <f t="shared" si="1"/>
        <v>0</v>
      </c>
      <c r="M29" s="20">
        <f t="shared" si="3"/>
        <v>0</v>
      </c>
      <c r="O29" s="35"/>
      <c r="P29" s="36"/>
      <c r="Q29" s="37"/>
      <c r="R29" s="38">
        <f t="shared" si="5"/>
        <v>0</v>
      </c>
      <c r="T29" s="46" t="s">
        <v>113</v>
      </c>
      <c r="U29" s="36">
        <v>150</v>
      </c>
      <c r="V29" s="37"/>
      <c r="W29" s="38">
        <f t="shared" si="6"/>
        <v>150</v>
      </c>
      <c r="AD29" s="23"/>
      <c r="AE29" s="23"/>
      <c r="AF29" s="23"/>
      <c r="AG29" s="24"/>
      <c r="AH29" s="23"/>
      <c r="AI29" s="23"/>
      <c r="AJ29" s="23"/>
      <c r="AK29" s="24"/>
      <c r="AL29" s="23"/>
      <c r="AM29" s="23"/>
      <c r="AN29" s="23"/>
      <c r="AO29" s="24"/>
    </row>
    <row r="30" spans="1:41" ht="15" thickBot="1" x14ac:dyDescent="0.35">
      <c r="A30" s="25"/>
      <c r="B30" s="13"/>
      <c r="C30" s="13"/>
      <c r="D30" s="14">
        <f t="shared" si="0"/>
        <v>0</v>
      </c>
      <c r="E30" s="13"/>
      <c r="F30" s="13"/>
      <c r="G30" s="13"/>
      <c r="H30" s="14">
        <f t="shared" si="4"/>
        <v>0</v>
      </c>
      <c r="I30" s="16"/>
      <c r="J30" s="13">
        <f t="shared" si="1"/>
        <v>0</v>
      </c>
      <c r="K30" s="34">
        <f t="shared" si="1"/>
        <v>0</v>
      </c>
      <c r="L30" s="19">
        <f t="shared" si="1"/>
        <v>0</v>
      </c>
      <c r="M30" s="20">
        <f t="shared" si="3"/>
        <v>0</v>
      </c>
      <c r="O30" s="35"/>
      <c r="P30" s="36"/>
      <c r="Q30" s="37"/>
      <c r="R30" s="38">
        <f t="shared" si="5"/>
        <v>0</v>
      </c>
      <c r="T30" s="46" t="s">
        <v>114</v>
      </c>
      <c r="U30" s="36">
        <v>1020</v>
      </c>
      <c r="V30" s="37"/>
      <c r="W30" s="38">
        <f t="shared" si="6"/>
        <v>1020</v>
      </c>
      <c r="AD30" s="23"/>
      <c r="AE30" s="23"/>
      <c r="AF30" s="23"/>
      <c r="AG30" s="24"/>
      <c r="AH30" s="23"/>
      <c r="AI30" s="23"/>
      <c r="AJ30" s="23"/>
      <c r="AK30" s="24"/>
      <c r="AL30" s="23"/>
      <c r="AM30" s="23"/>
      <c r="AN30" s="23"/>
      <c r="AO30" s="24"/>
    </row>
    <row r="31" spans="1:41" ht="15" thickBot="1" x14ac:dyDescent="0.35">
      <c r="A31" s="25"/>
      <c r="B31" s="13"/>
      <c r="C31" s="13"/>
      <c r="D31" s="14">
        <f t="shared" si="0"/>
        <v>0</v>
      </c>
      <c r="E31" s="13"/>
      <c r="F31" s="13"/>
      <c r="G31" s="13"/>
      <c r="H31" s="14">
        <f t="shared" si="4"/>
        <v>0</v>
      </c>
      <c r="I31" s="16"/>
      <c r="J31" s="13">
        <f t="shared" si="1"/>
        <v>0</v>
      </c>
      <c r="K31" s="34">
        <f t="shared" si="1"/>
        <v>0</v>
      </c>
      <c r="L31" s="19">
        <f t="shared" si="1"/>
        <v>0</v>
      </c>
      <c r="M31" s="20">
        <f t="shared" si="3"/>
        <v>0</v>
      </c>
      <c r="O31" s="61"/>
      <c r="P31" s="62"/>
      <c r="Q31" s="63"/>
      <c r="R31" s="38">
        <f t="shared" si="5"/>
        <v>0</v>
      </c>
      <c r="T31" s="46" t="s">
        <v>115</v>
      </c>
      <c r="U31" s="36">
        <v>210</v>
      </c>
      <c r="V31" s="37"/>
      <c r="W31" s="38">
        <f t="shared" si="6"/>
        <v>210</v>
      </c>
      <c r="AD31" s="23"/>
      <c r="AE31" s="23"/>
      <c r="AF31" s="23"/>
      <c r="AG31" s="24"/>
      <c r="AH31" s="23"/>
      <c r="AI31" s="23"/>
      <c r="AJ31" s="23"/>
      <c r="AK31" s="24"/>
      <c r="AL31" s="23"/>
      <c r="AM31" s="23"/>
      <c r="AN31" s="23"/>
      <c r="AO31" s="24"/>
    </row>
    <row r="32" spans="1:41" ht="15" thickBot="1" x14ac:dyDescent="0.35">
      <c r="A32" s="25"/>
      <c r="B32" s="13"/>
      <c r="C32" s="13"/>
      <c r="D32" s="14">
        <f t="shared" si="0"/>
        <v>0</v>
      </c>
      <c r="E32" s="13"/>
      <c r="F32" s="13"/>
      <c r="G32" s="13"/>
      <c r="H32" s="14">
        <f t="shared" si="4"/>
        <v>0</v>
      </c>
      <c r="I32" s="16"/>
      <c r="J32" s="13">
        <f t="shared" si="1"/>
        <v>0</v>
      </c>
      <c r="K32" s="34">
        <f t="shared" si="1"/>
        <v>0</v>
      </c>
      <c r="L32" s="19">
        <f t="shared" si="1"/>
        <v>0</v>
      </c>
      <c r="M32" s="20">
        <f t="shared" si="3"/>
        <v>0</v>
      </c>
      <c r="O32" s="61"/>
      <c r="P32" s="62"/>
      <c r="Q32" s="63"/>
      <c r="R32" s="38">
        <f t="shared" si="5"/>
        <v>0</v>
      </c>
      <c r="T32" s="35" t="s">
        <v>116</v>
      </c>
      <c r="U32" s="36">
        <v>4290</v>
      </c>
      <c r="V32" s="37"/>
      <c r="W32" s="38">
        <f t="shared" si="6"/>
        <v>4290</v>
      </c>
      <c r="AD32" s="23"/>
      <c r="AE32" s="23"/>
      <c r="AF32" s="23"/>
      <c r="AG32" s="24"/>
      <c r="AH32" s="23"/>
      <c r="AI32" s="23"/>
      <c r="AJ32" s="23"/>
      <c r="AK32" s="24"/>
      <c r="AL32" s="23"/>
      <c r="AM32" s="23"/>
      <c r="AN32" s="23"/>
      <c r="AO32" s="24"/>
    </row>
    <row r="33" spans="1:41" ht="16.5" customHeight="1" thickBot="1" x14ac:dyDescent="0.35">
      <c r="A33" s="25"/>
      <c r="B33" s="13"/>
      <c r="C33" s="13"/>
      <c r="D33" s="14">
        <f t="shared" si="0"/>
        <v>0</v>
      </c>
      <c r="E33" s="13"/>
      <c r="F33" s="13"/>
      <c r="G33" s="13"/>
      <c r="H33" s="14">
        <f t="shared" si="4"/>
        <v>0</v>
      </c>
      <c r="I33" s="16"/>
      <c r="J33" s="13">
        <f t="shared" si="1"/>
        <v>0</v>
      </c>
      <c r="K33" s="34">
        <f t="shared" si="1"/>
        <v>0</v>
      </c>
      <c r="L33" s="19">
        <f t="shared" si="1"/>
        <v>0</v>
      </c>
      <c r="M33" s="20">
        <f t="shared" si="3"/>
        <v>0</v>
      </c>
      <c r="O33" s="64"/>
      <c r="P33" s="65"/>
      <c r="Q33" s="66"/>
      <c r="R33" s="38">
        <f t="shared" si="5"/>
        <v>0</v>
      </c>
      <c r="T33" s="35" t="s">
        <v>118</v>
      </c>
      <c r="U33" s="36">
        <v>150</v>
      </c>
      <c r="V33" s="37"/>
      <c r="W33" s="38">
        <f t="shared" si="6"/>
        <v>150</v>
      </c>
      <c r="AD33" s="23"/>
      <c r="AE33" s="23"/>
      <c r="AF33" s="23"/>
      <c r="AG33" s="24"/>
      <c r="AH33" s="23"/>
      <c r="AI33" s="23"/>
      <c r="AJ33" s="23"/>
      <c r="AK33" s="24"/>
      <c r="AL33" s="23"/>
      <c r="AM33" s="23"/>
      <c r="AN33" s="23"/>
      <c r="AO33" s="24"/>
    </row>
    <row r="34" spans="1:41" ht="15.75" customHeight="1" thickBot="1" x14ac:dyDescent="0.35">
      <c r="A34" s="25"/>
      <c r="B34" s="13"/>
      <c r="C34" s="13"/>
      <c r="D34" s="14">
        <f t="shared" si="0"/>
        <v>0</v>
      </c>
      <c r="E34" s="13"/>
      <c r="F34" s="13"/>
      <c r="G34" s="13"/>
      <c r="H34" s="14">
        <f t="shared" si="4"/>
        <v>0</v>
      </c>
      <c r="I34" s="16"/>
      <c r="J34" s="13">
        <f t="shared" si="1"/>
        <v>0</v>
      </c>
      <c r="K34" s="34">
        <f t="shared" si="1"/>
        <v>0</v>
      </c>
      <c r="L34" s="19">
        <f t="shared" si="1"/>
        <v>0</v>
      </c>
      <c r="M34" s="20">
        <f t="shared" si="3"/>
        <v>0</v>
      </c>
      <c r="O34" s="67"/>
      <c r="P34" s="68"/>
      <c r="Q34" s="69"/>
      <c r="R34" s="38">
        <f t="shared" si="5"/>
        <v>0</v>
      </c>
      <c r="T34" s="61" t="s">
        <v>120</v>
      </c>
      <c r="U34" s="62">
        <v>180</v>
      </c>
      <c r="V34" s="63"/>
      <c r="W34" s="38">
        <f t="shared" si="6"/>
        <v>180</v>
      </c>
      <c r="AD34" s="23"/>
      <c r="AE34" s="23"/>
      <c r="AF34" s="23"/>
      <c r="AG34" s="24"/>
      <c r="AH34" s="23"/>
      <c r="AI34" s="23"/>
      <c r="AJ34" s="23"/>
      <c r="AK34" s="24"/>
      <c r="AL34" s="23"/>
      <c r="AM34" s="23"/>
      <c r="AN34" s="23"/>
      <c r="AO34" s="24"/>
    </row>
    <row r="35" spans="1:41" s="75" customFormat="1" ht="16.5" customHeight="1" thickBot="1" x14ac:dyDescent="0.35">
      <c r="A35" s="70" t="s">
        <v>2</v>
      </c>
      <c r="B35" s="71">
        <f>SUM(B4:B34)</f>
        <v>906109</v>
      </c>
      <c r="C35" s="71">
        <f>SUM(C4:C34)</f>
        <v>638</v>
      </c>
      <c r="D35" s="105">
        <f>IF(B35&lt;&gt;0,C35/B35*1000000,0)</f>
        <v>704.10954973408275</v>
      </c>
      <c r="E35" s="70" t="s">
        <v>2</v>
      </c>
      <c r="F35" s="71">
        <f>SUM(F4:F34)</f>
        <v>712330</v>
      </c>
      <c r="G35" s="71">
        <f>SUM(G4:G34)</f>
        <v>7680</v>
      </c>
      <c r="H35" s="105">
        <f t="shared" si="4"/>
        <v>10781.519801215729</v>
      </c>
      <c r="I35" s="72"/>
      <c r="J35" s="71">
        <f>SUM(J4:J34)</f>
        <v>1749280</v>
      </c>
      <c r="K35" s="73">
        <f>SUM(K4:K34)</f>
        <v>10161</v>
      </c>
      <c r="L35" s="74">
        <f>IF(J35&lt;&gt;0,K35/J35*1000000,0)</f>
        <v>5808.6755693771147</v>
      </c>
      <c r="M35" s="106">
        <f>IF(L35&lt;&gt;0,D35/L35,0)</f>
        <v>0.12121688349166779</v>
      </c>
      <c r="O35" s="76" t="s">
        <v>20</v>
      </c>
      <c r="P35" s="77">
        <f>SUM(P6:P34)</f>
        <v>30630</v>
      </c>
      <c r="Q35" s="78">
        <f>SUM(Q6:Q34)</f>
        <v>0</v>
      </c>
      <c r="R35" s="78">
        <f>SUM(R6:R34)</f>
        <v>30630</v>
      </c>
      <c r="T35" s="61" t="s">
        <v>121</v>
      </c>
      <c r="U35" s="62">
        <v>360</v>
      </c>
      <c r="V35" s="63"/>
      <c r="W35" s="38">
        <f t="shared" si="6"/>
        <v>360</v>
      </c>
      <c r="Y35"/>
      <c r="Z35"/>
      <c r="AA35"/>
      <c r="AB35"/>
    </row>
    <row r="36" spans="1:41" ht="15.75" customHeight="1" x14ac:dyDescent="0.3">
      <c r="A36" s="79"/>
      <c r="B36" s="79"/>
      <c r="C36" s="79"/>
      <c r="D36" s="79"/>
      <c r="E36" s="79"/>
      <c r="F36" s="79"/>
      <c r="G36" s="79"/>
      <c r="H36" s="79"/>
      <c r="I36" s="80"/>
      <c r="J36" s="79"/>
      <c r="K36" s="79"/>
      <c r="L36" s="79"/>
      <c r="M36" s="79"/>
      <c r="T36" s="64" t="s">
        <v>124</v>
      </c>
      <c r="U36" s="65">
        <v>660</v>
      </c>
      <c r="V36" s="66"/>
      <c r="W36" s="38">
        <f t="shared" si="6"/>
        <v>660</v>
      </c>
    </row>
    <row r="37" spans="1:41" ht="15" thickBot="1" x14ac:dyDescent="0.35">
      <c r="T37" s="67" t="s">
        <v>127</v>
      </c>
      <c r="U37" s="68">
        <v>3600</v>
      </c>
      <c r="V37" s="69"/>
      <c r="W37" s="38">
        <f t="shared" si="6"/>
        <v>3600</v>
      </c>
    </row>
    <row r="38" spans="1:41" ht="15" thickBot="1" x14ac:dyDescent="0.35">
      <c r="T38" s="76" t="s">
        <v>129</v>
      </c>
      <c r="U38" s="77">
        <v>540</v>
      </c>
      <c r="V38" s="78">
        <f>SUM(V6:V37)</f>
        <v>1230</v>
      </c>
      <c r="W38" s="78">
        <f>SUM(W6:W37)</f>
        <v>31695</v>
      </c>
    </row>
    <row r="39" spans="1:41" ht="14.25" customHeight="1" x14ac:dyDescent="0.3">
      <c r="T39" t="s">
        <v>131</v>
      </c>
      <c r="U39">
        <v>2971</v>
      </c>
      <c r="X39" s="81"/>
    </row>
    <row r="40" spans="1:41" x14ac:dyDescent="0.3">
      <c r="B40" s="211"/>
      <c r="T40" t="s">
        <v>133</v>
      </c>
      <c r="U40">
        <v>2595</v>
      </c>
      <c r="Y40" s="75"/>
      <c r="Z40" s="75"/>
      <c r="AA40" s="75"/>
      <c r="AB40" s="75"/>
    </row>
    <row r="41" spans="1:41" x14ac:dyDescent="0.3">
      <c r="T41" t="s">
        <v>134</v>
      </c>
      <c r="U41" s="57">
        <v>1140</v>
      </c>
      <c r="V41" s="57"/>
    </row>
    <row r="42" spans="1:41" x14ac:dyDescent="0.3">
      <c r="T42" s="52" t="s">
        <v>136</v>
      </c>
      <c r="U42">
        <v>990</v>
      </c>
    </row>
    <row r="43" spans="1:41" x14ac:dyDescent="0.3">
      <c r="T43" s="57" t="s">
        <v>138</v>
      </c>
      <c r="U43">
        <v>300</v>
      </c>
    </row>
    <row r="44" spans="1:41" x14ac:dyDescent="0.3">
      <c r="T44" s="57" t="s">
        <v>139</v>
      </c>
      <c r="U44">
        <v>810</v>
      </c>
    </row>
    <row r="45" spans="1:41" x14ac:dyDescent="0.3">
      <c r="T45" s="57" t="s">
        <v>140</v>
      </c>
      <c r="U45">
        <v>120</v>
      </c>
    </row>
    <row r="46" spans="1:41" x14ac:dyDescent="0.3">
      <c r="T46" s="57" t="s">
        <v>141</v>
      </c>
      <c r="U46">
        <v>570</v>
      </c>
    </row>
    <row r="47" spans="1:41" x14ac:dyDescent="0.3">
      <c r="T47" s="57" t="s">
        <v>143</v>
      </c>
      <c r="U47">
        <v>1320</v>
      </c>
    </row>
    <row r="48" spans="1:41" x14ac:dyDescent="0.3">
      <c r="T48" t="s">
        <v>144</v>
      </c>
      <c r="U48">
        <v>2640</v>
      </c>
    </row>
    <row r="49" spans="15:23" x14ac:dyDescent="0.3">
      <c r="T49" t="s">
        <v>145</v>
      </c>
      <c r="U49">
        <v>1380</v>
      </c>
      <c r="W49" s="52"/>
    </row>
    <row r="50" spans="15:23" x14ac:dyDescent="0.3">
      <c r="T50" t="s">
        <v>147</v>
      </c>
      <c r="U50">
        <v>630</v>
      </c>
      <c r="W50" s="52"/>
    </row>
    <row r="51" spans="15:23" x14ac:dyDescent="0.3">
      <c r="W51" s="52"/>
    </row>
    <row r="55" spans="15:23" x14ac:dyDescent="0.3">
      <c r="P55" s="52"/>
      <c r="T55" s="75"/>
      <c r="U55" s="75"/>
      <c r="V55" s="75"/>
      <c r="W55" s="75"/>
    </row>
    <row r="56" spans="15:23" ht="21" x14ac:dyDescent="0.3">
      <c r="O56" s="81"/>
      <c r="P56" s="52"/>
      <c r="W56" s="52"/>
    </row>
    <row r="57" spans="15:23" ht="25.8" x14ac:dyDescent="0.3">
      <c r="O57" s="82"/>
      <c r="P57" s="52"/>
      <c r="W57" s="52"/>
    </row>
    <row r="58" spans="15:23" ht="25.8" x14ac:dyDescent="0.3">
      <c r="O58" s="82"/>
      <c r="P58" s="52"/>
      <c r="R58" s="75"/>
      <c r="W58" s="52"/>
    </row>
    <row r="59" spans="15:23" ht="21" x14ac:dyDescent="0.3">
      <c r="W59" s="83"/>
    </row>
  </sheetData>
  <mergeCells count="9">
    <mergeCell ref="O4:R4"/>
    <mergeCell ref="T4:W4"/>
    <mergeCell ref="Y4:AB4"/>
    <mergeCell ref="A2:D2"/>
    <mergeCell ref="E2:H2"/>
    <mergeCell ref="J2:M2"/>
    <mergeCell ref="AL2:AO2"/>
    <mergeCell ref="AD2:AG2"/>
    <mergeCell ref="AH2:AK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V150"/>
  <sheetViews>
    <sheetView tabSelected="1" topLeftCell="E43" zoomScale="80" zoomScaleNormal="80" workbookViewId="0">
      <selection activeCell="Z34" sqref="Z34"/>
    </sheetView>
  </sheetViews>
  <sheetFormatPr baseColWidth="10" defaultColWidth="9.109375" defaultRowHeight="14.4" x14ac:dyDescent="0.3"/>
  <cols>
    <col min="1" max="1" width="40" hidden="1" customWidth="1"/>
    <col min="2" max="2" width="16" hidden="1" customWidth="1"/>
    <col min="3" max="3" width="18.88671875" hidden="1" customWidth="1"/>
    <col min="4" max="4" width="13.6640625" hidden="1" customWidth="1"/>
    <col min="5" max="5" width="7.44140625" customWidth="1"/>
    <col min="6" max="6" width="10.5546875" bestFit="1" customWidth="1"/>
    <col min="7" max="7" width="11.33203125" customWidth="1"/>
    <col min="8" max="8" width="10.5546875" customWidth="1"/>
    <col min="9" max="9" width="7.44140625" customWidth="1"/>
    <col min="10" max="10" width="10.5546875" customWidth="1"/>
    <col min="11" max="12" width="10.5546875" bestFit="1" customWidth="1"/>
    <col min="13" max="13" width="11.5546875" customWidth="1"/>
    <col min="14" max="14" width="23.5546875" customWidth="1"/>
    <col min="15" max="15" width="10.5546875" bestFit="1" customWidth="1"/>
    <col min="16" max="16" width="27.109375" bestFit="1" customWidth="1"/>
    <col min="17" max="17" width="16.109375" bestFit="1" customWidth="1"/>
    <col min="18" max="18" width="10.5546875" bestFit="1" customWidth="1"/>
    <col min="19" max="19" width="19.88671875" bestFit="1" customWidth="1"/>
    <col min="20" max="20" width="11.5546875" bestFit="1" customWidth="1"/>
  </cols>
  <sheetData>
    <row r="1" spans="1:4" x14ac:dyDescent="0.3">
      <c r="B1" s="176" t="s">
        <v>62</v>
      </c>
    </row>
    <row r="2" spans="1:4" x14ac:dyDescent="0.3">
      <c r="A2" s="176" t="s">
        <v>381</v>
      </c>
      <c r="B2" t="s">
        <v>63</v>
      </c>
      <c r="C2" t="s">
        <v>64</v>
      </c>
      <c r="D2" t="s">
        <v>65</v>
      </c>
    </row>
    <row r="3" spans="1:4" x14ac:dyDescent="0.3">
      <c r="A3" s="177" t="s">
        <v>135</v>
      </c>
      <c r="B3" s="178"/>
      <c r="C3" s="178">
        <v>60</v>
      </c>
      <c r="D3" s="178">
        <v>60</v>
      </c>
    </row>
    <row r="4" spans="1:4" x14ac:dyDescent="0.3">
      <c r="A4" s="177" t="s">
        <v>103</v>
      </c>
      <c r="B4" s="178"/>
      <c r="C4" s="178">
        <v>120</v>
      </c>
      <c r="D4" s="178">
        <v>120</v>
      </c>
    </row>
    <row r="5" spans="1:4" x14ac:dyDescent="0.3">
      <c r="A5" s="177" t="s">
        <v>128</v>
      </c>
      <c r="B5" s="178"/>
      <c r="C5" s="178">
        <v>300</v>
      </c>
      <c r="D5" s="178">
        <v>300</v>
      </c>
    </row>
    <row r="6" spans="1:4" x14ac:dyDescent="0.3">
      <c r="A6" s="177" t="s">
        <v>126</v>
      </c>
      <c r="B6" s="178"/>
      <c r="C6" s="178">
        <v>450</v>
      </c>
      <c r="D6" s="178">
        <v>450</v>
      </c>
    </row>
    <row r="7" spans="1:4" x14ac:dyDescent="0.3">
      <c r="A7" s="177" t="s">
        <v>132</v>
      </c>
      <c r="B7" s="178"/>
      <c r="C7" s="178">
        <v>480</v>
      </c>
      <c r="D7" s="178">
        <v>480</v>
      </c>
    </row>
    <row r="8" spans="1:4" x14ac:dyDescent="0.3">
      <c r="A8" s="177" t="s">
        <v>104</v>
      </c>
      <c r="B8" s="178"/>
      <c r="C8" s="178">
        <v>630</v>
      </c>
      <c r="D8" s="178">
        <v>630</v>
      </c>
    </row>
    <row r="9" spans="1:4" x14ac:dyDescent="0.3">
      <c r="A9" s="177" t="s">
        <v>89</v>
      </c>
      <c r="B9" s="178"/>
      <c r="C9" s="178">
        <v>720</v>
      </c>
      <c r="D9" s="178">
        <v>720</v>
      </c>
    </row>
    <row r="10" spans="1:4" x14ac:dyDescent="0.3">
      <c r="A10" s="177" t="s">
        <v>142</v>
      </c>
      <c r="B10" s="178"/>
      <c r="C10" s="178">
        <v>720</v>
      </c>
      <c r="D10" s="178">
        <v>720</v>
      </c>
    </row>
    <row r="11" spans="1:4" x14ac:dyDescent="0.3">
      <c r="A11" s="177" t="s">
        <v>106</v>
      </c>
      <c r="B11" s="178"/>
      <c r="C11" s="178">
        <v>750</v>
      </c>
      <c r="D11" s="178">
        <v>750</v>
      </c>
    </row>
    <row r="12" spans="1:4" x14ac:dyDescent="0.3">
      <c r="A12" s="177" t="s">
        <v>146</v>
      </c>
      <c r="B12" s="178"/>
      <c r="C12" s="178">
        <v>960</v>
      </c>
      <c r="D12" s="178">
        <v>960</v>
      </c>
    </row>
    <row r="13" spans="1:4" x14ac:dyDescent="0.3">
      <c r="A13" s="177" t="s">
        <v>137</v>
      </c>
      <c r="B13" s="178"/>
      <c r="C13" s="178">
        <v>990</v>
      </c>
      <c r="D13" s="178">
        <v>990</v>
      </c>
    </row>
    <row r="14" spans="1:4" x14ac:dyDescent="0.3">
      <c r="A14" s="177" t="s">
        <v>91</v>
      </c>
      <c r="B14" s="178"/>
      <c r="C14" s="178">
        <v>1110</v>
      </c>
      <c r="D14" s="178">
        <v>1110</v>
      </c>
    </row>
    <row r="15" spans="1:4" x14ac:dyDescent="0.3">
      <c r="A15" s="177" t="s">
        <v>97</v>
      </c>
      <c r="B15" s="178"/>
      <c r="C15" s="178">
        <v>1320</v>
      </c>
      <c r="D15" s="178">
        <v>1320</v>
      </c>
    </row>
    <row r="16" spans="1:4" x14ac:dyDescent="0.3">
      <c r="A16" s="177" t="s">
        <v>130</v>
      </c>
      <c r="B16" s="178"/>
      <c r="C16" s="178">
        <v>1590</v>
      </c>
      <c r="D16" s="178">
        <v>1590</v>
      </c>
    </row>
    <row r="17" spans="1:4" x14ac:dyDescent="0.3">
      <c r="A17" s="177" t="s">
        <v>125</v>
      </c>
      <c r="B17" s="178"/>
      <c r="C17" s="178">
        <v>1650</v>
      </c>
      <c r="D17" s="178">
        <v>1650</v>
      </c>
    </row>
    <row r="18" spans="1:4" x14ac:dyDescent="0.3">
      <c r="A18" s="177" t="s">
        <v>122</v>
      </c>
      <c r="B18" s="178"/>
      <c r="C18" s="178">
        <v>1800</v>
      </c>
      <c r="D18" s="178">
        <v>1800</v>
      </c>
    </row>
    <row r="19" spans="1:4" x14ac:dyDescent="0.3">
      <c r="A19" s="177" t="s">
        <v>119</v>
      </c>
      <c r="B19" s="178"/>
      <c r="C19" s="178">
        <v>2280</v>
      </c>
      <c r="D19" s="178">
        <v>2280</v>
      </c>
    </row>
    <row r="20" spans="1:4" x14ac:dyDescent="0.3">
      <c r="A20" s="177" t="s">
        <v>85</v>
      </c>
      <c r="B20" s="178"/>
      <c r="C20" s="178">
        <v>2820</v>
      </c>
      <c r="D20" s="178">
        <v>2820</v>
      </c>
    </row>
    <row r="21" spans="1:4" x14ac:dyDescent="0.3">
      <c r="A21" s="177" t="s">
        <v>123</v>
      </c>
      <c r="B21" s="178"/>
      <c r="C21" s="178">
        <v>2880</v>
      </c>
      <c r="D21" s="178">
        <v>2880</v>
      </c>
    </row>
    <row r="22" spans="1:4" x14ac:dyDescent="0.3">
      <c r="A22" s="177" t="s">
        <v>84</v>
      </c>
      <c r="B22" s="178"/>
      <c r="C22" s="178">
        <v>2910</v>
      </c>
      <c r="D22" s="178">
        <v>2910</v>
      </c>
    </row>
    <row r="23" spans="1:4" x14ac:dyDescent="0.3">
      <c r="A23" s="177" t="s">
        <v>109</v>
      </c>
      <c r="B23" s="178"/>
      <c r="C23" s="178">
        <v>2970</v>
      </c>
      <c r="D23" s="178">
        <v>2970</v>
      </c>
    </row>
    <row r="24" spans="1:4" x14ac:dyDescent="0.3">
      <c r="A24" s="177" t="s">
        <v>117</v>
      </c>
      <c r="B24" s="178"/>
      <c r="C24" s="178">
        <v>3120</v>
      </c>
      <c r="D24" s="178">
        <v>3120</v>
      </c>
    </row>
    <row r="25" spans="1:4" x14ac:dyDescent="0.3">
      <c r="A25" s="177" t="s">
        <v>382</v>
      </c>
      <c r="B25" s="178"/>
      <c r="C25" s="178">
        <v>30630</v>
      </c>
      <c r="D25" s="178">
        <v>30630</v>
      </c>
    </row>
    <row r="50" spans="1:4" x14ac:dyDescent="0.3">
      <c r="B50" s="176" t="s">
        <v>62</v>
      </c>
    </row>
    <row r="51" spans="1:4" x14ac:dyDescent="0.3">
      <c r="A51" s="176" t="s">
        <v>381</v>
      </c>
      <c r="B51" t="s">
        <v>63</v>
      </c>
      <c r="C51" t="s">
        <v>64</v>
      </c>
      <c r="D51" t="s">
        <v>65</v>
      </c>
    </row>
    <row r="52" spans="1:4" x14ac:dyDescent="0.3">
      <c r="A52" s="177" t="s">
        <v>88</v>
      </c>
      <c r="B52" s="178"/>
      <c r="C52" s="178">
        <v>60</v>
      </c>
      <c r="D52" s="178">
        <v>60</v>
      </c>
    </row>
    <row r="53" spans="1:4" x14ac:dyDescent="0.3">
      <c r="A53" s="177" t="s">
        <v>102</v>
      </c>
      <c r="B53" s="178"/>
      <c r="C53" s="178">
        <v>60</v>
      </c>
      <c r="D53" s="178">
        <v>60</v>
      </c>
    </row>
    <row r="54" spans="1:4" x14ac:dyDescent="0.3">
      <c r="A54" s="177" t="s">
        <v>81</v>
      </c>
      <c r="B54" s="178"/>
      <c r="C54" s="178">
        <v>105</v>
      </c>
      <c r="D54" s="178">
        <v>105</v>
      </c>
    </row>
    <row r="55" spans="1:4" x14ac:dyDescent="0.3">
      <c r="A55" s="177" t="s">
        <v>101</v>
      </c>
      <c r="B55" s="178"/>
      <c r="C55" s="178">
        <v>150</v>
      </c>
      <c r="D55" s="178">
        <v>150</v>
      </c>
    </row>
    <row r="56" spans="1:4" x14ac:dyDescent="0.3">
      <c r="A56" s="177" t="s">
        <v>96</v>
      </c>
      <c r="B56" s="178"/>
      <c r="C56" s="178">
        <v>150</v>
      </c>
      <c r="D56" s="178">
        <v>150</v>
      </c>
    </row>
    <row r="57" spans="1:4" x14ac:dyDescent="0.3">
      <c r="A57" s="177" t="s">
        <v>118</v>
      </c>
      <c r="B57" s="178"/>
      <c r="C57" s="178">
        <v>150</v>
      </c>
      <c r="D57" s="178">
        <v>150</v>
      </c>
    </row>
    <row r="58" spans="1:4" x14ac:dyDescent="0.3">
      <c r="A58" s="177" t="s">
        <v>113</v>
      </c>
      <c r="B58" s="178"/>
      <c r="C58" s="178">
        <v>150</v>
      </c>
      <c r="D58" s="178">
        <v>150</v>
      </c>
    </row>
    <row r="59" spans="1:4" x14ac:dyDescent="0.3">
      <c r="A59" s="177" t="s">
        <v>111</v>
      </c>
      <c r="B59" s="178"/>
      <c r="C59" s="178">
        <v>150</v>
      </c>
      <c r="D59" s="178">
        <v>150</v>
      </c>
    </row>
    <row r="60" spans="1:4" x14ac:dyDescent="0.3">
      <c r="A60" s="177" t="s">
        <v>120</v>
      </c>
      <c r="B60" s="178"/>
      <c r="C60" s="178">
        <v>180</v>
      </c>
      <c r="D60" s="178">
        <v>180</v>
      </c>
    </row>
    <row r="61" spans="1:4" x14ac:dyDescent="0.3">
      <c r="A61" s="177" t="s">
        <v>98</v>
      </c>
      <c r="B61" s="178"/>
      <c r="C61" s="178">
        <v>210</v>
      </c>
      <c r="D61" s="178">
        <v>210</v>
      </c>
    </row>
    <row r="62" spans="1:4" x14ac:dyDescent="0.3">
      <c r="A62" s="177" t="s">
        <v>115</v>
      </c>
      <c r="B62" s="178"/>
      <c r="C62" s="178">
        <v>210</v>
      </c>
      <c r="D62" s="178">
        <v>210</v>
      </c>
    </row>
    <row r="63" spans="1:4" x14ac:dyDescent="0.3">
      <c r="A63" s="177" t="s">
        <v>110</v>
      </c>
      <c r="B63" s="178"/>
      <c r="C63" s="178">
        <v>300</v>
      </c>
      <c r="D63" s="178">
        <v>300</v>
      </c>
    </row>
    <row r="64" spans="1:4" x14ac:dyDescent="0.3">
      <c r="A64" s="177" t="s">
        <v>83</v>
      </c>
      <c r="B64" s="178"/>
      <c r="C64" s="178">
        <v>300</v>
      </c>
      <c r="D64" s="178">
        <v>300</v>
      </c>
    </row>
    <row r="65" spans="1:22" x14ac:dyDescent="0.3">
      <c r="A65" s="177" t="s">
        <v>105</v>
      </c>
      <c r="B65" s="178">
        <v>330</v>
      </c>
      <c r="C65" s="178"/>
      <c r="D65" s="178">
        <v>330</v>
      </c>
    </row>
    <row r="66" spans="1:22" x14ac:dyDescent="0.3">
      <c r="A66" s="177" t="s">
        <v>121</v>
      </c>
      <c r="B66" s="178"/>
      <c r="C66" s="178">
        <v>360</v>
      </c>
      <c r="D66" s="178">
        <v>360</v>
      </c>
    </row>
    <row r="67" spans="1:22" x14ac:dyDescent="0.3">
      <c r="A67" s="177" t="s">
        <v>100</v>
      </c>
      <c r="B67" s="178"/>
      <c r="C67" s="178">
        <v>420</v>
      </c>
      <c r="D67" s="178">
        <v>420</v>
      </c>
    </row>
    <row r="68" spans="1:22" x14ac:dyDescent="0.3">
      <c r="A68" s="177" t="s">
        <v>112</v>
      </c>
      <c r="B68" s="178"/>
      <c r="C68" s="178">
        <v>480</v>
      </c>
      <c r="D68" s="178">
        <v>480</v>
      </c>
    </row>
    <row r="69" spans="1:22" x14ac:dyDescent="0.3">
      <c r="A69" s="177" t="s">
        <v>107</v>
      </c>
      <c r="B69" s="178"/>
      <c r="C69" s="178">
        <v>480</v>
      </c>
      <c r="D69" s="178">
        <v>480</v>
      </c>
    </row>
    <row r="70" spans="1:22" x14ac:dyDescent="0.3">
      <c r="A70" s="177" t="s">
        <v>82</v>
      </c>
      <c r="B70" s="178"/>
      <c r="C70" s="178">
        <v>480</v>
      </c>
      <c r="D70" s="178">
        <v>480</v>
      </c>
    </row>
    <row r="71" spans="1:22" x14ac:dyDescent="0.3">
      <c r="A71" s="177" t="s">
        <v>99</v>
      </c>
      <c r="B71" s="178"/>
      <c r="C71" s="178">
        <v>510</v>
      </c>
      <c r="D71" s="178">
        <v>510</v>
      </c>
    </row>
    <row r="72" spans="1:22" x14ac:dyDescent="0.3">
      <c r="A72" s="177" t="s">
        <v>95</v>
      </c>
      <c r="B72" s="178"/>
      <c r="C72" s="178">
        <v>660</v>
      </c>
      <c r="D72" s="178">
        <v>660</v>
      </c>
    </row>
    <row r="73" spans="1:22" x14ac:dyDescent="0.3">
      <c r="A73" s="177" t="s">
        <v>124</v>
      </c>
      <c r="B73" s="178"/>
      <c r="C73" s="178">
        <v>660</v>
      </c>
      <c r="D73" s="178">
        <v>660</v>
      </c>
    </row>
    <row r="74" spans="1:22" x14ac:dyDescent="0.3">
      <c r="A74" s="177" t="s">
        <v>94</v>
      </c>
      <c r="B74" s="178"/>
      <c r="C74" s="178">
        <v>780</v>
      </c>
      <c r="D74" s="178">
        <v>780</v>
      </c>
      <c r="V74" t="s">
        <v>66</v>
      </c>
    </row>
    <row r="75" spans="1:22" x14ac:dyDescent="0.3">
      <c r="A75" s="177" t="s">
        <v>86</v>
      </c>
      <c r="B75" s="178">
        <v>900</v>
      </c>
      <c r="C75" s="178">
        <v>60</v>
      </c>
      <c r="D75" s="178">
        <v>960</v>
      </c>
    </row>
    <row r="76" spans="1:22" x14ac:dyDescent="0.3">
      <c r="A76" s="177" t="s">
        <v>114</v>
      </c>
      <c r="B76" s="178"/>
      <c r="C76" s="178">
        <v>1020</v>
      </c>
      <c r="D76" s="178">
        <v>1020</v>
      </c>
    </row>
    <row r="77" spans="1:22" x14ac:dyDescent="0.3">
      <c r="A77" s="177" t="s">
        <v>90</v>
      </c>
      <c r="B77" s="178"/>
      <c r="C77" s="178">
        <v>1380</v>
      </c>
      <c r="D77" s="178">
        <v>1380</v>
      </c>
    </row>
    <row r="78" spans="1:22" x14ac:dyDescent="0.3">
      <c r="A78" s="177" t="s">
        <v>87</v>
      </c>
      <c r="B78" s="178"/>
      <c r="C78" s="178">
        <v>1770</v>
      </c>
      <c r="D78" s="178">
        <v>1770</v>
      </c>
    </row>
    <row r="79" spans="1:22" x14ac:dyDescent="0.3">
      <c r="A79" s="177" t="s">
        <v>93</v>
      </c>
      <c r="B79" s="178"/>
      <c r="C79" s="178">
        <v>2100</v>
      </c>
      <c r="D79" s="178">
        <v>2100</v>
      </c>
    </row>
    <row r="80" spans="1:22" x14ac:dyDescent="0.3">
      <c r="A80" s="177" t="s">
        <v>127</v>
      </c>
      <c r="B80" s="178"/>
      <c r="C80" s="178">
        <v>3600</v>
      </c>
      <c r="D80" s="178">
        <v>3600</v>
      </c>
    </row>
    <row r="81" spans="1:4" x14ac:dyDescent="0.3">
      <c r="A81" s="177" t="s">
        <v>108</v>
      </c>
      <c r="B81" s="178"/>
      <c r="C81" s="178">
        <v>3840</v>
      </c>
      <c r="D81" s="178">
        <v>3840</v>
      </c>
    </row>
    <row r="82" spans="1:4" x14ac:dyDescent="0.3">
      <c r="A82" s="177" t="s">
        <v>116</v>
      </c>
      <c r="B82" s="178"/>
      <c r="C82" s="178">
        <v>4290</v>
      </c>
      <c r="D82" s="178">
        <v>4290</v>
      </c>
    </row>
    <row r="83" spans="1:4" x14ac:dyDescent="0.3">
      <c r="A83" s="177" t="s">
        <v>92</v>
      </c>
      <c r="B83" s="178"/>
      <c r="C83" s="178">
        <v>5400</v>
      </c>
      <c r="D83" s="178">
        <v>5400</v>
      </c>
    </row>
    <row r="84" spans="1:4" x14ac:dyDescent="0.3">
      <c r="A84" s="177" t="s">
        <v>382</v>
      </c>
      <c r="B84" s="178">
        <v>1230</v>
      </c>
      <c r="C84" s="178">
        <v>30465</v>
      </c>
      <c r="D84" s="178">
        <v>31695</v>
      </c>
    </row>
    <row r="100" spans="1:17" x14ac:dyDescent="0.3">
      <c r="B100" s="176" t="s">
        <v>62</v>
      </c>
    </row>
    <row r="101" spans="1:17" x14ac:dyDescent="0.3">
      <c r="A101" s="176" t="s">
        <v>381</v>
      </c>
      <c r="B101" t="s">
        <v>67</v>
      </c>
      <c r="C101" t="s">
        <v>68</v>
      </c>
    </row>
    <row r="102" spans="1:17" x14ac:dyDescent="0.3">
      <c r="A102" s="177">
        <v>1</v>
      </c>
      <c r="B102" s="178">
        <v>863</v>
      </c>
      <c r="C102" s="178">
        <v>507</v>
      </c>
    </row>
    <row r="103" spans="1:17" x14ac:dyDescent="0.3">
      <c r="A103" s="177">
        <v>2</v>
      </c>
      <c r="B103" s="178">
        <v>1002</v>
      </c>
      <c r="C103" s="178">
        <v>944</v>
      </c>
    </row>
    <row r="104" spans="1:17" x14ac:dyDescent="0.3">
      <c r="A104" s="177">
        <v>3</v>
      </c>
      <c r="B104" s="178">
        <v>962</v>
      </c>
      <c r="C104" s="178">
        <v>584</v>
      </c>
    </row>
    <row r="105" spans="1:17" ht="15" customHeight="1" x14ac:dyDescent="0.3">
      <c r="A105" s="177">
        <v>4</v>
      </c>
      <c r="B105" s="178">
        <v>476</v>
      </c>
      <c r="C105" s="178">
        <v>0</v>
      </c>
    </row>
    <row r="106" spans="1:17" ht="15" customHeight="1" x14ac:dyDescent="0.3">
      <c r="A106" s="177">
        <v>6</v>
      </c>
      <c r="B106" s="178">
        <v>643</v>
      </c>
      <c r="C106" s="178">
        <v>337</v>
      </c>
      <c r="Q106" s="179"/>
    </row>
    <row r="107" spans="1:17" x14ac:dyDescent="0.3">
      <c r="A107" s="177">
        <v>7</v>
      </c>
      <c r="B107" s="178">
        <v>827</v>
      </c>
      <c r="C107" s="178">
        <v>738</v>
      </c>
    </row>
    <row r="108" spans="1:17" ht="15" customHeight="1" x14ac:dyDescent="0.3">
      <c r="A108" s="177">
        <v>8</v>
      </c>
      <c r="B108" s="178">
        <v>900</v>
      </c>
      <c r="C108" s="178">
        <v>617</v>
      </c>
    </row>
    <row r="109" spans="1:17" ht="15" customHeight="1" x14ac:dyDescent="0.3">
      <c r="A109" s="177">
        <v>9</v>
      </c>
      <c r="B109" s="178">
        <v>819</v>
      </c>
      <c r="C109" s="178">
        <v>802</v>
      </c>
    </row>
    <row r="110" spans="1:17" x14ac:dyDescent="0.3">
      <c r="A110" s="177">
        <v>10</v>
      </c>
      <c r="B110" s="178">
        <v>470</v>
      </c>
      <c r="C110" s="178">
        <v>611</v>
      </c>
    </row>
    <row r="111" spans="1:17" x14ac:dyDescent="0.3">
      <c r="A111" s="177">
        <v>11</v>
      </c>
      <c r="B111" s="178">
        <v>0</v>
      </c>
      <c r="C111" s="178">
        <v>0</v>
      </c>
    </row>
    <row r="112" spans="1:17" x14ac:dyDescent="0.3">
      <c r="A112" s="177">
        <v>12</v>
      </c>
      <c r="B112" s="178">
        <v>0</v>
      </c>
      <c r="C112" s="178">
        <v>0</v>
      </c>
    </row>
    <row r="113" spans="1:18" x14ac:dyDescent="0.3">
      <c r="A113" s="177">
        <v>13</v>
      </c>
      <c r="B113" s="178">
        <v>679</v>
      </c>
      <c r="C113" s="178">
        <v>735</v>
      </c>
    </row>
    <row r="120" spans="1:18" ht="23.4" x14ac:dyDescent="0.3">
      <c r="R120" s="180"/>
    </row>
    <row r="121" spans="1:18" ht="23.4" x14ac:dyDescent="0.3">
      <c r="R121" s="180"/>
    </row>
    <row r="146" spans="9:17" ht="23.4" x14ac:dyDescent="0.3">
      <c r="I146" s="181" t="s">
        <v>69</v>
      </c>
      <c r="J146" s="181"/>
      <c r="K146" s="182">
        <f>PPMS!R35</f>
        <v>30630</v>
      </c>
      <c r="L146" s="180"/>
      <c r="O146" s="183" t="s">
        <v>70</v>
      </c>
      <c r="P146" s="183"/>
      <c r="Q146" s="179">
        <f>PPMS!W38</f>
        <v>31695</v>
      </c>
    </row>
    <row r="147" spans="9:17" ht="23.4" x14ac:dyDescent="0.3">
      <c r="I147" s="181"/>
      <c r="J147" s="181"/>
      <c r="K147" s="180"/>
      <c r="L147" s="180"/>
      <c r="P147" s="183"/>
      <c r="Q147" s="183"/>
    </row>
    <row r="149" spans="9:17" ht="23.4" x14ac:dyDescent="0.3">
      <c r="I149" s="184" t="s">
        <v>71</v>
      </c>
      <c r="J149" s="184"/>
      <c r="K149" s="180">
        <f>PPMS!AB23</f>
        <v>0</v>
      </c>
      <c r="L149" s="180"/>
      <c r="O149" s="183" t="s">
        <v>72</v>
      </c>
      <c r="P149" s="183"/>
      <c r="Q149" s="180">
        <f>K146+Q146+K149</f>
        <v>62325</v>
      </c>
    </row>
    <row r="150" spans="9:17" ht="23.4" x14ac:dyDescent="0.3">
      <c r="I150" s="184"/>
      <c r="J150" s="184"/>
      <c r="K150" s="180"/>
      <c r="L150" s="180"/>
      <c r="O150" s="183"/>
      <c r="P150" s="183"/>
      <c r="Q150" s="180"/>
    </row>
  </sheetData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K15"/>
  <sheetViews>
    <sheetView zoomScale="80" zoomScaleNormal="80" workbookViewId="0">
      <selection activeCell="J10" sqref="J10"/>
    </sheetView>
  </sheetViews>
  <sheetFormatPr baseColWidth="10" defaultColWidth="9.109375" defaultRowHeight="14.4" x14ac:dyDescent="0.3"/>
  <cols>
    <col min="1" max="1" width="16.88671875" customWidth="1"/>
    <col min="2" max="7" width="12.33203125" customWidth="1"/>
    <col min="8" max="8" width="12.44140625" customWidth="1"/>
    <col min="11" max="11" width="12.5546875" bestFit="1" customWidth="1"/>
  </cols>
  <sheetData>
    <row r="1" spans="1:11" ht="15" thickBot="1" x14ac:dyDescent="0.35">
      <c r="A1" s="234" t="s">
        <v>27</v>
      </c>
      <c r="B1" s="235"/>
      <c r="C1" s="235"/>
      <c r="D1" s="235"/>
      <c r="E1" s="235"/>
      <c r="F1" s="235"/>
      <c r="G1" s="235"/>
    </row>
    <row r="2" spans="1:11" ht="15" thickBot="1" x14ac:dyDescent="0.35">
      <c r="A2" s="57"/>
      <c r="B2" s="216" t="s">
        <v>1</v>
      </c>
      <c r="C2" s="217"/>
      <c r="D2" s="218"/>
      <c r="E2" s="236" t="s">
        <v>0</v>
      </c>
      <c r="F2" s="236"/>
      <c r="G2" s="237"/>
    </row>
    <row r="3" spans="1:11" ht="29.4" thickBot="1" x14ac:dyDescent="0.35">
      <c r="A3" s="202" t="s">
        <v>28</v>
      </c>
      <c r="B3" s="196" t="s">
        <v>29</v>
      </c>
      <c r="C3" s="197" t="s">
        <v>7</v>
      </c>
      <c r="D3" s="198" t="s">
        <v>8</v>
      </c>
      <c r="E3" s="199" t="s">
        <v>6</v>
      </c>
      <c r="F3" s="200" t="s">
        <v>7</v>
      </c>
      <c r="G3" s="201" t="s">
        <v>8</v>
      </c>
      <c r="H3" s="202" t="s">
        <v>30</v>
      </c>
    </row>
    <row r="4" spans="1:11" x14ac:dyDescent="0.3">
      <c r="A4" s="203" t="s">
        <v>31</v>
      </c>
      <c r="B4" s="17">
        <v>1984545</v>
      </c>
      <c r="C4" s="107">
        <v>11213</v>
      </c>
      <c r="D4" s="108">
        <f t="shared" ref="D4:D15" si="0">C4/B4*1000000</f>
        <v>5650.1616239490668</v>
      </c>
      <c r="E4" s="109">
        <v>2091244</v>
      </c>
      <c r="F4" s="17">
        <v>1848</v>
      </c>
      <c r="G4" s="110">
        <v>883</v>
      </c>
      <c r="H4" s="111">
        <f>G4/(D4+G4)</f>
        <v>0.13515661341717389</v>
      </c>
    </row>
    <row r="5" spans="1:11" x14ac:dyDescent="0.3">
      <c r="A5" s="204" t="s">
        <v>32</v>
      </c>
      <c r="B5" s="13">
        <v>1792295</v>
      </c>
      <c r="C5" s="112">
        <v>9878</v>
      </c>
      <c r="D5" s="108">
        <f t="shared" si="0"/>
        <v>5511.3695011144928</v>
      </c>
      <c r="E5" s="34">
        <v>1900879</v>
      </c>
      <c r="F5" s="13">
        <v>1601</v>
      </c>
      <c r="G5" s="113">
        <v>842</v>
      </c>
      <c r="H5" s="114">
        <f>G5/(D5+G5)</f>
        <v>0.13252810179736885</v>
      </c>
      <c r="K5" s="211"/>
    </row>
    <row r="6" spans="1:11" x14ac:dyDescent="0.3">
      <c r="A6" s="204" t="s">
        <v>33</v>
      </c>
      <c r="B6" s="13">
        <v>2082967</v>
      </c>
      <c r="C6" s="112">
        <v>11264</v>
      </c>
      <c r="D6" s="108">
        <f t="shared" si="0"/>
        <v>5407.6708848483913</v>
      </c>
      <c r="E6" s="34">
        <v>2627463</v>
      </c>
      <c r="F6" s="13">
        <v>1707</v>
      </c>
      <c r="G6" s="113">
        <v>649</v>
      </c>
      <c r="H6" s="114">
        <f t="shared" ref="H6:H15" si="1">G6/(D6+G6)</f>
        <v>0.10715457589474842</v>
      </c>
    </row>
    <row r="7" spans="1:11" x14ac:dyDescent="0.3">
      <c r="A7" s="204" t="s">
        <v>34</v>
      </c>
      <c r="B7" s="13">
        <v>2088541</v>
      </c>
      <c r="C7" s="112">
        <v>10416</v>
      </c>
      <c r="D7" s="108">
        <f t="shared" si="0"/>
        <v>4987.2135620033314</v>
      </c>
      <c r="E7" s="34">
        <v>2478579</v>
      </c>
      <c r="F7" s="13">
        <v>1876</v>
      </c>
      <c r="G7" s="113">
        <v>756</v>
      </c>
      <c r="H7" s="114">
        <f t="shared" si="1"/>
        <v>0.13163362146266666</v>
      </c>
    </row>
    <row r="8" spans="1:11" x14ac:dyDescent="0.3">
      <c r="A8" s="204" t="s">
        <v>35</v>
      </c>
      <c r="B8" s="13">
        <v>1230338</v>
      </c>
      <c r="C8" s="112">
        <v>5444</v>
      </c>
      <c r="D8" s="108">
        <f t="shared" si="0"/>
        <v>4424.8003394189236</v>
      </c>
      <c r="E8" s="34">
        <v>2057900</v>
      </c>
      <c r="F8" s="13">
        <v>1854</v>
      </c>
      <c r="G8" s="113">
        <v>900</v>
      </c>
      <c r="H8" s="114">
        <f t="shared" si="1"/>
        <v>0.16902042191843267</v>
      </c>
    </row>
    <row r="9" spans="1:11" x14ac:dyDescent="0.3">
      <c r="A9" s="204" t="s">
        <v>36</v>
      </c>
      <c r="B9" s="13">
        <v>1756642</v>
      </c>
      <c r="C9" s="112">
        <v>8817</v>
      </c>
      <c r="D9" s="108">
        <f t="shared" si="0"/>
        <v>5019.2355642185494</v>
      </c>
      <c r="E9" s="34">
        <v>2851281</v>
      </c>
      <c r="F9" s="13">
        <v>1789</v>
      </c>
      <c r="G9" s="113">
        <v>627</v>
      </c>
      <c r="H9" s="114">
        <f t="shared" si="1"/>
        <v>0.11104743910676318</v>
      </c>
    </row>
    <row r="10" spans="1:11" x14ac:dyDescent="0.3">
      <c r="A10" s="204" t="s">
        <v>37</v>
      </c>
      <c r="B10" s="13">
        <v>1617466</v>
      </c>
      <c r="C10" s="112">
        <v>8325</v>
      </c>
      <c r="D10" s="108">
        <f t="shared" si="0"/>
        <v>5146.9397192893084</v>
      </c>
      <c r="E10" s="34">
        <v>2595668</v>
      </c>
      <c r="F10" s="13">
        <v>1749</v>
      </c>
      <c r="G10" s="113">
        <v>673</v>
      </c>
      <c r="H10" s="114">
        <f t="shared" si="1"/>
        <v>0.11563693654239124</v>
      </c>
      <c r="J10" s="283" t="s">
        <v>383</v>
      </c>
    </row>
    <row r="11" spans="1:11" x14ac:dyDescent="0.3">
      <c r="A11" s="204" t="s">
        <v>38</v>
      </c>
      <c r="B11" s="13">
        <v>1276582</v>
      </c>
      <c r="C11" s="112">
        <v>11079</v>
      </c>
      <c r="D11" s="108">
        <f t="shared" si="0"/>
        <v>8678.6434400610378</v>
      </c>
      <c r="E11" s="34">
        <v>2183519</v>
      </c>
      <c r="F11" s="13">
        <v>2028</v>
      </c>
      <c r="G11" s="113">
        <v>928</v>
      </c>
      <c r="H11" s="114">
        <f t="shared" si="1"/>
        <v>9.6599817177570171E-2</v>
      </c>
    </row>
    <row r="12" spans="1:11" x14ac:dyDescent="0.3">
      <c r="A12" s="204" t="s">
        <v>39</v>
      </c>
      <c r="B12" s="13">
        <v>949957</v>
      </c>
      <c r="C12" s="112">
        <v>9814</v>
      </c>
      <c r="D12" s="108">
        <f t="shared" si="0"/>
        <v>10330.993929198899</v>
      </c>
      <c r="E12" s="34">
        <v>1262318</v>
      </c>
      <c r="F12" s="13">
        <v>992</v>
      </c>
      <c r="G12" s="113">
        <v>785</v>
      </c>
      <c r="H12" s="114">
        <f t="shared" si="1"/>
        <v>7.0618966239087616E-2</v>
      </c>
    </row>
    <row r="13" spans="1:11" x14ac:dyDescent="0.3">
      <c r="A13" s="204" t="s">
        <v>40</v>
      </c>
      <c r="B13" s="13"/>
      <c r="C13" s="112"/>
      <c r="D13" s="108" t="e">
        <f t="shared" si="0"/>
        <v>#DIV/0!</v>
      </c>
      <c r="E13" s="34"/>
      <c r="F13" s="13"/>
      <c r="G13" s="113"/>
      <c r="H13" s="114" t="e">
        <f t="shared" si="1"/>
        <v>#DIV/0!</v>
      </c>
    </row>
    <row r="14" spans="1:11" x14ac:dyDescent="0.3">
      <c r="A14" s="204" t="s">
        <v>41</v>
      </c>
      <c r="B14" s="13"/>
      <c r="C14" s="112"/>
      <c r="D14" s="108" t="e">
        <f t="shared" si="0"/>
        <v>#DIV/0!</v>
      </c>
      <c r="E14" s="34"/>
      <c r="F14" s="13"/>
      <c r="G14" s="113"/>
      <c r="H14" s="114" t="e">
        <f t="shared" si="1"/>
        <v>#DIV/0!</v>
      </c>
    </row>
    <row r="15" spans="1:11" ht="15" thickBot="1" x14ac:dyDescent="0.35">
      <c r="A15" s="205" t="s">
        <v>42</v>
      </c>
      <c r="B15" s="115"/>
      <c r="C15" s="116"/>
      <c r="D15" s="117" t="e">
        <f t="shared" si="0"/>
        <v>#DIV/0!</v>
      </c>
      <c r="E15" s="118"/>
      <c r="F15" s="115"/>
      <c r="G15" s="119"/>
      <c r="H15" s="120" t="e">
        <f t="shared" si="1"/>
        <v>#DIV/0!</v>
      </c>
    </row>
  </sheetData>
  <mergeCells count="3">
    <mergeCell ref="A1:G1"/>
    <mergeCell ref="B2:D2"/>
    <mergeCell ref="E2:G2"/>
  </mergeCells>
  <hyperlinks>
    <hyperlink ref="J10" r:id="rId1" xr:uid="{0DC573DD-6D33-4067-BFFE-273B387AAFCF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S79"/>
  <sheetViews>
    <sheetView topLeftCell="G1" zoomScale="70" zoomScaleNormal="70" workbookViewId="0">
      <selection activeCell="AE10" sqref="AE10"/>
    </sheetView>
  </sheetViews>
  <sheetFormatPr baseColWidth="10" defaultColWidth="9.109375" defaultRowHeight="14.4" x14ac:dyDescent="0.3"/>
  <cols>
    <col min="1" max="1" width="27.33203125" style="99" customWidth="1"/>
    <col min="2" max="2" width="9.5546875" style="104" bestFit="1" customWidth="1"/>
    <col min="3" max="3" width="3.6640625" style="104" customWidth="1"/>
    <col min="4" max="4" width="27.33203125" style="104" customWidth="1"/>
    <col min="5" max="5" width="9.5546875" style="29" customWidth="1"/>
    <col min="6" max="6" width="27.33203125" style="98" customWidth="1"/>
    <col min="7" max="7" width="9.5546875" style="99" bestFit="1" customWidth="1"/>
    <col min="9" max="14" width="9" customWidth="1"/>
    <col min="15" max="15" width="9.5546875" bestFit="1" customWidth="1"/>
    <col min="16" max="27" width="9" customWidth="1"/>
  </cols>
  <sheetData>
    <row r="1" spans="1:19" ht="15" thickBot="1" x14ac:dyDescent="0.35">
      <c r="A1" s="238" t="s">
        <v>21</v>
      </c>
      <c r="B1" s="239"/>
      <c r="C1" s="239"/>
      <c r="D1" s="239"/>
      <c r="E1" s="240"/>
      <c r="F1" s="84"/>
      <c r="G1" s="85"/>
    </row>
    <row r="2" spans="1:19" ht="15" thickBot="1" x14ac:dyDescent="0.35">
      <c r="A2" s="238" t="s">
        <v>22</v>
      </c>
      <c r="B2" s="240"/>
      <c r="C2" s="86"/>
      <c r="D2" s="238" t="s">
        <v>23</v>
      </c>
      <c r="E2" s="240"/>
      <c r="F2"/>
      <c r="G2"/>
    </row>
    <row r="3" spans="1:19" ht="31.8" thickBot="1" x14ac:dyDescent="0.35">
      <c r="A3" s="87" t="s">
        <v>24</v>
      </c>
      <c r="B3" s="88" t="s">
        <v>2</v>
      </c>
      <c r="C3" s="89"/>
      <c r="D3" s="88" t="s">
        <v>25</v>
      </c>
      <c r="E3" s="90" t="s">
        <v>2</v>
      </c>
      <c r="F3"/>
      <c r="G3"/>
      <c r="M3" s="241" t="s">
        <v>26</v>
      </c>
      <c r="N3" s="242"/>
      <c r="O3" s="242"/>
      <c r="P3" s="242"/>
      <c r="Q3" s="242"/>
      <c r="R3" s="242"/>
      <c r="S3" s="243"/>
    </row>
    <row r="4" spans="1:19" ht="15" thickBot="1" x14ac:dyDescent="0.35">
      <c r="A4" s="91" t="s">
        <v>148</v>
      </c>
      <c r="B4" s="92">
        <v>94</v>
      </c>
      <c r="C4" s="93"/>
      <c r="D4" s="94" t="s">
        <v>151</v>
      </c>
      <c r="E4" s="95">
        <v>7</v>
      </c>
      <c r="F4"/>
      <c r="G4" s="96"/>
    </row>
    <row r="5" spans="1:19" ht="15" thickBot="1" x14ac:dyDescent="0.35">
      <c r="A5" s="91" t="s">
        <v>149</v>
      </c>
      <c r="B5" s="92">
        <v>72</v>
      </c>
      <c r="C5" s="93"/>
      <c r="D5" s="97" t="s">
        <v>161</v>
      </c>
      <c r="E5" s="95">
        <v>6</v>
      </c>
      <c r="F5"/>
      <c r="G5" s="96"/>
    </row>
    <row r="6" spans="1:19" ht="15" thickBot="1" x14ac:dyDescent="0.35">
      <c r="A6" s="91" t="s">
        <v>150</v>
      </c>
      <c r="B6" s="92">
        <v>58</v>
      </c>
      <c r="C6" s="93"/>
      <c r="D6" s="97" t="s">
        <v>150</v>
      </c>
      <c r="E6" s="95">
        <v>5</v>
      </c>
      <c r="F6"/>
      <c r="G6" s="96"/>
    </row>
    <row r="7" spans="1:19" ht="15" thickBot="1" x14ac:dyDescent="0.35">
      <c r="A7" s="91" t="s">
        <v>151</v>
      </c>
      <c r="B7" s="92">
        <v>38</v>
      </c>
      <c r="C7" s="93"/>
      <c r="D7" s="97" t="s">
        <v>149</v>
      </c>
      <c r="E7" s="95">
        <v>5</v>
      </c>
      <c r="F7"/>
      <c r="G7" s="96"/>
    </row>
    <row r="8" spans="1:19" ht="15" thickBot="1" x14ac:dyDescent="0.35">
      <c r="A8" s="91" t="s">
        <v>152</v>
      </c>
      <c r="B8" s="92">
        <v>38</v>
      </c>
      <c r="C8" s="93"/>
      <c r="D8" s="97" t="s">
        <v>152</v>
      </c>
      <c r="E8" s="95">
        <v>4</v>
      </c>
      <c r="F8"/>
      <c r="G8" s="96"/>
    </row>
    <row r="9" spans="1:19" ht="15" thickBot="1" x14ac:dyDescent="0.35">
      <c r="A9" s="91" t="s">
        <v>153</v>
      </c>
      <c r="B9" s="92">
        <v>32</v>
      </c>
      <c r="C9" s="93"/>
      <c r="D9" s="97" t="s">
        <v>148</v>
      </c>
      <c r="E9" s="95">
        <v>4</v>
      </c>
      <c r="F9"/>
      <c r="G9" s="96"/>
    </row>
    <row r="10" spans="1:19" ht="15" thickBot="1" x14ac:dyDescent="0.35">
      <c r="A10" s="91" t="s">
        <v>154</v>
      </c>
      <c r="B10" s="92">
        <v>24</v>
      </c>
      <c r="C10" s="93"/>
      <c r="D10" s="97" t="s">
        <v>153</v>
      </c>
      <c r="E10" s="95">
        <v>3</v>
      </c>
      <c r="F10"/>
      <c r="G10" s="96"/>
    </row>
    <row r="11" spans="1:19" ht="15" thickBot="1" x14ac:dyDescent="0.35">
      <c r="A11" s="91" t="s">
        <v>155</v>
      </c>
      <c r="B11" s="92">
        <v>22</v>
      </c>
      <c r="C11" s="93"/>
      <c r="D11" s="97" t="s">
        <v>172</v>
      </c>
      <c r="E11" s="95">
        <v>3</v>
      </c>
      <c r="F11"/>
      <c r="G11" s="96"/>
    </row>
    <row r="12" spans="1:19" ht="15" thickBot="1" x14ac:dyDescent="0.35">
      <c r="A12" s="91" t="s">
        <v>156</v>
      </c>
      <c r="B12" s="92">
        <v>21</v>
      </c>
      <c r="C12" s="93"/>
      <c r="D12" s="97" t="s">
        <v>156</v>
      </c>
      <c r="E12" s="95">
        <v>2</v>
      </c>
      <c r="F12"/>
      <c r="G12" s="96"/>
    </row>
    <row r="13" spans="1:19" ht="15" thickBot="1" x14ac:dyDescent="0.35">
      <c r="A13" s="91" t="s">
        <v>157</v>
      </c>
      <c r="B13" s="92">
        <v>18</v>
      </c>
      <c r="C13" s="93"/>
      <c r="D13" s="97" t="s">
        <v>187</v>
      </c>
      <c r="E13" s="95">
        <v>2</v>
      </c>
      <c r="F13"/>
      <c r="G13" s="96"/>
    </row>
    <row r="14" spans="1:19" ht="15" thickBot="1" x14ac:dyDescent="0.35">
      <c r="A14" s="91" t="s">
        <v>158</v>
      </c>
      <c r="B14" s="92">
        <v>16</v>
      </c>
      <c r="C14" s="93"/>
      <c r="D14" s="97" t="s">
        <v>167</v>
      </c>
      <c r="E14" s="95">
        <v>2</v>
      </c>
      <c r="F14"/>
      <c r="G14" s="96"/>
    </row>
    <row r="15" spans="1:19" ht="15" thickBot="1" x14ac:dyDescent="0.35">
      <c r="A15" s="91" t="s">
        <v>159</v>
      </c>
      <c r="B15" s="92">
        <v>14</v>
      </c>
      <c r="C15" s="93"/>
      <c r="D15" s="97" t="s">
        <v>157</v>
      </c>
      <c r="E15" s="95">
        <v>1</v>
      </c>
      <c r="F15"/>
      <c r="G15" s="96"/>
    </row>
    <row r="16" spans="1:19" ht="15" thickBot="1" x14ac:dyDescent="0.35">
      <c r="A16" s="91" t="s">
        <v>160</v>
      </c>
      <c r="B16" s="92">
        <v>14</v>
      </c>
      <c r="C16" s="93"/>
      <c r="D16" s="97" t="s">
        <v>164</v>
      </c>
      <c r="E16" s="95">
        <v>1</v>
      </c>
      <c r="F16"/>
      <c r="G16" s="96"/>
    </row>
    <row r="17" spans="1:9" ht="15" thickBot="1" x14ac:dyDescent="0.35">
      <c r="A17" s="91" t="s">
        <v>161</v>
      </c>
      <c r="B17" s="92">
        <v>14</v>
      </c>
      <c r="C17" s="93"/>
      <c r="D17" s="97" t="s">
        <v>154</v>
      </c>
      <c r="E17" s="95">
        <v>1</v>
      </c>
      <c r="F17"/>
      <c r="G17" s="96"/>
    </row>
    <row r="18" spans="1:9" ht="15" thickBot="1" x14ac:dyDescent="0.35">
      <c r="A18" s="91" t="s">
        <v>162</v>
      </c>
      <c r="B18" s="92">
        <v>11</v>
      </c>
      <c r="C18" s="93"/>
      <c r="D18" s="97" t="s">
        <v>155</v>
      </c>
      <c r="E18" s="95">
        <v>1</v>
      </c>
      <c r="F18"/>
      <c r="G18" s="96"/>
    </row>
    <row r="19" spans="1:9" ht="15" thickBot="1" x14ac:dyDescent="0.35">
      <c r="A19" s="91" t="s">
        <v>163</v>
      </c>
      <c r="B19" s="92">
        <v>9</v>
      </c>
      <c r="C19" s="93"/>
      <c r="D19" s="97" t="s">
        <v>159</v>
      </c>
      <c r="E19" s="95">
        <v>1</v>
      </c>
      <c r="F19"/>
      <c r="G19" s="96"/>
    </row>
    <row r="20" spans="1:9" ht="15" thickBot="1" x14ac:dyDescent="0.35">
      <c r="A20" s="91" t="s">
        <v>164</v>
      </c>
      <c r="B20" s="92">
        <v>8</v>
      </c>
      <c r="C20" s="93"/>
      <c r="D20" s="97" t="s">
        <v>158</v>
      </c>
      <c r="E20" s="95">
        <v>1</v>
      </c>
      <c r="F20"/>
      <c r="G20" s="96"/>
    </row>
    <row r="21" spans="1:9" ht="15" thickBot="1" x14ac:dyDescent="0.35">
      <c r="A21" s="91" t="s">
        <v>165</v>
      </c>
      <c r="B21" s="92">
        <v>8</v>
      </c>
      <c r="C21" s="93"/>
      <c r="D21" s="97" t="s">
        <v>186</v>
      </c>
      <c r="E21" s="95">
        <v>1</v>
      </c>
      <c r="F21"/>
      <c r="G21" s="96"/>
    </row>
    <row r="22" spans="1:9" ht="15" thickBot="1" x14ac:dyDescent="0.35">
      <c r="A22" s="91" t="s">
        <v>166</v>
      </c>
      <c r="B22" s="92">
        <v>7</v>
      </c>
      <c r="C22" s="93"/>
      <c r="D22" s="97" t="s">
        <v>204</v>
      </c>
      <c r="E22" s="95">
        <v>1</v>
      </c>
      <c r="F22"/>
      <c r="G22" s="96"/>
    </row>
    <row r="23" spans="1:9" ht="15" thickBot="1" x14ac:dyDescent="0.35">
      <c r="A23" s="91" t="s">
        <v>167</v>
      </c>
      <c r="B23" s="92">
        <v>7</v>
      </c>
      <c r="C23" s="93"/>
      <c r="D23" s="97"/>
      <c r="E23" s="95"/>
      <c r="F23"/>
      <c r="G23" s="96"/>
    </row>
    <row r="24" spans="1:9" ht="15" thickBot="1" x14ac:dyDescent="0.35">
      <c r="A24" s="91" t="s">
        <v>168</v>
      </c>
      <c r="B24" s="92">
        <v>7</v>
      </c>
      <c r="C24" s="93"/>
      <c r="D24" s="97"/>
      <c r="E24" s="95"/>
      <c r="F24"/>
      <c r="G24" s="96"/>
    </row>
    <row r="25" spans="1:9" ht="15" thickBot="1" x14ac:dyDescent="0.35">
      <c r="A25" s="91" t="s">
        <v>169</v>
      </c>
      <c r="B25" s="92">
        <v>7</v>
      </c>
      <c r="C25" s="93"/>
      <c r="D25" s="97"/>
      <c r="E25" s="95"/>
      <c r="F25"/>
      <c r="G25" s="96"/>
    </row>
    <row r="26" spans="1:9" ht="15" thickBot="1" x14ac:dyDescent="0.35">
      <c r="A26" s="91" t="s">
        <v>170</v>
      </c>
      <c r="B26" s="92">
        <v>6</v>
      </c>
      <c r="C26" s="93"/>
      <c r="D26" s="97"/>
      <c r="E26" s="95"/>
      <c r="F26"/>
      <c r="G26" s="96"/>
    </row>
    <row r="27" spans="1:9" ht="15" thickBot="1" x14ac:dyDescent="0.35">
      <c r="A27" s="91" t="s">
        <v>171</v>
      </c>
      <c r="B27" s="92">
        <v>6</v>
      </c>
      <c r="C27" s="93"/>
      <c r="D27" s="97"/>
      <c r="E27" s="95"/>
      <c r="F27"/>
      <c r="G27" s="96"/>
    </row>
    <row r="28" spans="1:9" ht="15" thickBot="1" x14ac:dyDescent="0.35">
      <c r="A28" s="91" t="s">
        <v>172</v>
      </c>
      <c r="B28" s="92">
        <v>5</v>
      </c>
      <c r="C28" s="93"/>
      <c r="D28" s="97"/>
      <c r="E28" s="95"/>
      <c r="F28"/>
      <c r="G28" s="96"/>
    </row>
    <row r="29" spans="1:9" ht="15" thickBot="1" x14ac:dyDescent="0.35">
      <c r="A29" s="91" t="s">
        <v>173</v>
      </c>
      <c r="B29" s="92">
        <v>5</v>
      </c>
      <c r="C29" s="93"/>
      <c r="D29" s="97"/>
      <c r="E29" s="95"/>
      <c r="F29"/>
      <c r="G29" s="96"/>
    </row>
    <row r="30" spans="1:9" ht="15" thickBot="1" x14ac:dyDescent="0.35">
      <c r="A30" s="91" t="s">
        <v>174</v>
      </c>
      <c r="B30" s="92">
        <v>4</v>
      </c>
      <c r="C30" s="93"/>
      <c r="D30" s="97"/>
      <c r="E30" s="95"/>
      <c r="F30"/>
      <c r="G30" s="96"/>
    </row>
    <row r="31" spans="1:9" ht="16.5" customHeight="1" thickBot="1" x14ac:dyDescent="0.35">
      <c r="A31" s="91" t="s">
        <v>175</v>
      </c>
      <c r="B31" s="92">
        <v>4</v>
      </c>
      <c r="C31" s="93"/>
      <c r="D31" s="97"/>
      <c r="E31" s="95"/>
      <c r="I31" s="96"/>
    </row>
    <row r="32" spans="1:9" ht="15" thickBot="1" x14ac:dyDescent="0.35">
      <c r="A32" s="91" t="s">
        <v>176</v>
      </c>
      <c r="B32" s="92">
        <v>4</v>
      </c>
      <c r="C32" s="93"/>
      <c r="D32" s="97"/>
      <c r="E32" s="95"/>
      <c r="I32" s="96"/>
    </row>
    <row r="33" spans="1:9" ht="15" thickBot="1" x14ac:dyDescent="0.35">
      <c r="A33" s="91" t="s">
        <v>177</v>
      </c>
      <c r="B33" s="92">
        <v>4</v>
      </c>
      <c r="C33" s="93"/>
      <c r="D33" s="97"/>
      <c r="E33" s="95"/>
      <c r="I33" s="96"/>
    </row>
    <row r="34" spans="1:9" ht="15" thickBot="1" x14ac:dyDescent="0.35">
      <c r="A34" s="91" t="s">
        <v>178</v>
      </c>
      <c r="B34" s="92">
        <v>4</v>
      </c>
      <c r="C34" s="93"/>
      <c r="D34" s="97"/>
      <c r="E34" s="95"/>
      <c r="I34" s="96"/>
    </row>
    <row r="35" spans="1:9" ht="15" thickBot="1" x14ac:dyDescent="0.35">
      <c r="A35" s="91" t="s">
        <v>179</v>
      </c>
      <c r="B35" s="92">
        <v>4</v>
      </c>
      <c r="C35" s="93"/>
      <c r="D35" s="97"/>
      <c r="E35" s="95"/>
      <c r="I35" s="96"/>
    </row>
    <row r="36" spans="1:9" ht="15" thickBot="1" x14ac:dyDescent="0.35">
      <c r="A36" s="91" t="s">
        <v>180</v>
      </c>
      <c r="B36" s="92">
        <v>3</v>
      </c>
      <c r="C36" s="93"/>
      <c r="D36" s="97"/>
      <c r="E36" s="95"/>
      <c r="I36" s="96"/>
    </row>
    <row r="37" spans="1:9" ht="15" thickBot="1" x14ac:dyDescent="0.35">
      <c r="A37" s="91" t="s">
        <v>181</v>
      </c>
      <c r="B37" s="92">
        <v>3</v>
      </c>
      <c r="C37" s="93"/>
      <c r="D37" s="97"/>
      <c r="E37" s="95"/>
      <c r="I37" s="96"/>
    </row>
    <row r="38" spans="1:9" ht="15" thickBot="1" x14ac:dyDescent="0.35">
      <c r="A38" s="91" t="s">
        <v>182</v>
      </c>
      <c r="B38" s="92">
        <v>3</v>
      </c>
      <c r="C38" s="93"/>
      <c r="D38" s="100"/>
      <c r="E38" s="95"/>
      <c r="I38" s="96"/>
    </row>
    <row r="39" spans="1:9" ht="24" thickBot="1" x14ac:dyDescent="0.35">
      <c r="A39" s="91" t="s">
        <v>183</v>
      </c>
      <c r="B39" s="92">
        <v>3</v>
      </c>
      <c r="C39" s="93"/>
      <c r="D39" s="93"/>
      <c r="E39" s="101">
        <f>SUM(E4:E38)</f>
        <v>51</v>
      </c>
      <c r="I39" s="96"/>
    </row>
    <row r="40" spans="1:9" x14ac:dyDescent="0.3">
      <c r="A40" s="91" t="s">
        <v>184</v>
      </c>
      <c r="B40" s="92">
        <v>3</v>
      </c>
      <c r="C40" s="93"/>
      <c r="D40" s="93"/>
      <c r="E40" s="102"/>
      <c r="I40" s="96"/>
    </row>
    <row r="41" spans="1:9" x14ac:dyDescent="0.3">
      <c r="A41" s="91" t="s">
        <v>185</v>
      </c>
      <c r="B41" s="92">
        <v>3</v>
      </c>
      <c r="C41" s="93"/>
      <c r="D41" s="93"/>
      <c r="E41" s="102"/>
      <c r="I41" s="96"/>
    </row>
    <row r="42" spans="1:9" x14ac:dyDescent="0.3">
      <c r="A42" s="91" t="s">
        <v>186</v>
      </c>
      <c r="B42" s="92">
        <v>2</v>
      </c>
      <c r="C42" s="93"/>
      <c r="D42" s="93"/>
      <c r="E42" s="102"/>
      <c r="I42" s="96"/>
    </row>
    <row r="43" spans="1:9" x14ac:dyDescent="0.3">
      <c r="A43" s="91" t="s">
        <v>187</v>
      </c>
      <c r="B43" s="92">
        <v>2</v>
      </c>
      <c r="C43" s="93"/>
      <c r="D43" s="93"/>
      <c r="E43" s="102"/>
      <c r="I43" s="96"/>
    </row>
    <row r="44" spans="1:9" x14ac:dyDescent="0.3">
      <c r="A44" s="91" t="s">
        <v>188</v>
      </c>
      <c r="B44" s="92">
        <v>2</v>
      </c>
      <c r="C44" s="93"/>
      <c r="D44" s="93"/>
      <c r="E44" s="102"/>
      <c r="I44" s="96"/>
    </row>
    <row r="45" spans="1:9" x14ac:dyDescent="0.3">
      <c r="A45" s="91" t="s">
        <v>189</v>
      </c>
      <c r="B45" s="92">
        <v>2</v>
      </c>
      <c r="C45" s="93"/>
      <c r="D45" s="93"/>
      <c r="E45" s="102"/>
      <c r="I45" s="96"/>
    </row>
    <row r="46" spans="1:9" x14ac:dyDescent="0.3">
      <c r="A46" s="91" t="s">
        <v>190</v>
      </c>
      <c r="B46" s="92">
        <v>2</v>
      </c>
      <c r="C46" s="93"/>
      <c r="D46" s="93"/>
      <c r="E46" s="102"/>
      <c r="I46" s="96"/>
    </row>
    <row r="47" spans="1:9" x14ac:dyDescent="0.3">
      <c r="A47" s="91" t="s">
        <v>191</v>
      </c>
      <c r="B47" s="92">
        <v>2</v>
      </c>
      <c r="C47" s="93"/>
      <c r="D47" s="93"/>
      <c r="E47" s="102"/>
      <c r="I47" s="96"/>
    </row>
    <row r="48" spans="1:9" x14ac:dyDescent="0.3">
      <c r="A48" s="91" t="s">
        <v>192</v>
      </c>
      <c r="B48" s="92">
        <v>2</v>
      </c>
      <c r="C48" s="93"/>
      <c r="D48" s="93"/>
      <c r="E48" s="102"/>
      <c r="I48" s="96"/>
    </row>
    <row r="49" spans="1:9" x14ac:dyDescent="0.3">
      <c r="A49" s="91" t="s">
        <v>193</v>
      </c>
      <c r="B49" s="92">
        <v>2</v>
      </c>
      <c r="C49" s="93"/>
      <c r="D49" s="93"/>
      <c r="E49" s="102"/>
      <c r="I49" s="96"/>
    </row>
    <row r="50" spans="1:9" x14ac:dyDescent="0.3">
      <c r="A50" s="91" t="s">
        <v>194</v>
      </c>
      <c r="B50" s="92">
        <v>2</v>
      </c>
      <c r="C50" s="93"/>
      <c r="D50" s="93"/>
      <c r="E50" s="102"/>
      <c r="I50" s="96"/>
    </row>
    <row r="51" spans="1:9" x14ac:dyDescent="0.3">
      <c r="A51" s="91" t="s">
        <v>195</v>
      </c>
      <c r="B51" s="92">
        <v>2</v>
      </c>
      <c r="C51" s="93"/>
      <c r="D51" s="93"/>
      <c r="E51" s="102"/>
      <c r="I51" s="96"/>
    </row>
    <row r="52" spans="1:9" x14ac:dyDescent="0.3">
      <c r="A52" s="91" t="s">
        <v>196</v>
      </c>
      <c r="B52" s="92">
        <v>1</v>
      </c>
      <c r="C52" s="93"/>
      <c r="D52" s="93"/>
      <c r="E52" s="102"/>
      <c r="I52" s="96"/>
    </row>
    <row r="53" spans="1:9" x14ac:dyDescent="0.3">
      <c r="A53" s="91" t="s">
        <v>197</v>
      </c>
      <c r="B53" s="92">
        <v>1</v>
      </c>
      <c r="C53" s="93"/>
      <c r="D53" s="93"/>
      <c r="E53" s="102"/>
      <c r="I53" s="96"/>
    </row>
    <row r="54" spans="1:9" x14ac:dyDescent="0.3">
      <c r="A54" s="91" t="s">
        <v>198</v>
      </c>
      <c r="B54" s="92">
        <v>1</v>
      </c>
      <c r="C54" s="93"/>
      <c r="D54" s="93"/>
      <c r="E54" s="102"/>
      <c r="I54" s="96"/>
    </row>
    <row r="55" spans="1:9" x14ac:dyDescent="0.3">
      <c r="A55" s="91" t="s">
        <v>199</v>
      </c>
      <c r="B55" s="92">
        <v>1</v>
      </c>
      <c r="C55" s="93"/>
      <c r="D55" s="93"/>
      <c r="E55" s="102"/>
      <c r="I55" s="96"/>
    </row>
    <row r="56" spans="1:9" x14ac:dyDescent="0.3">
      <c r="A56" s="91" t="s">
        <v>200</v>
      </c>
      <c r="B56" s="92">
        <v>1</v>
      </c>
      <c r="C56" s="93"/>
      <c r="D56" s="93"/>
      <c r="E56" s="102"/>
      <c r="I56" s="96"/>
    </row>
    <row r="57" spans="1:9" x14ac:dyDescent="0.3">
      <c r="A57" s="91" t="s">
        <v>201</v>
      </c>
      <c r="B57" s="92">
        <v>1</v>
      </c>
      <c r="C57" s="93"/>
      <c r="D57" s="93"/>
      <c r="E57" s="102"/>
      <c r="I57" s="96"/>
    </row>
    <row r="58" spans="1:9" x14ac:dyDescent="0.3">
      <c r="A58" s="91" t="s">
        <v>202</v>
      </c>
      <c r="B58" s="92">
        <v>1</v>
      </c>
      <c r="C58" s="93"/>
      <c r="D58" s="93"/>
      <c r="E58" s="102"/>
      <c r="I58" s="96"/>
    </row>
    <row r="59" spans="1:9" x14ac:dyDescent="0.3">
      <c r="A59" s="91" t="s">
        <v>203</v>
      </c>
      <c r="B59" s="92">
        <v>1</v>
      </c>
      <c r="C59" s="93"/>
      <c r="D59" s="93"/>
      <c r="E59" s="102"/>
      <c r="I59" s="96"/>
    </row>
    <row r="60" spans="1:9" x14ac:dyDescent="0.3">
      <c r="A60" s="91" t="s">
        <v>204</v>
      </c>
      <c r="B60" s="92">
        <v>1</v>
      </c>
      <c r="C60" s="93"/>
      <c r="D60" s="93"/>
      <c r="E60" s="102"/>
      <c r="I60" s="96"/>
    </row>
    <row r="61" spans="1:9" x14ac:dyDescent="0.3">
      <c r="A61" s="91" t="s">
        <v>205</v>
      </c>
      <c r="B61" s="92">
        <v>1</v>
      </c>
      <c r="C61" s="93"/>
      <c r="D61" s="93"/>
      <c r="E61" s="102"/>
      <c r="I61" s="96"/>
    </row>
    <row r="62" spans="1:9" x14ac:dyDescent="0.3">
      <c r="A62" s="91" t="s">
        <v>206</v>
      </c>
      <c r="B62" s="92">
        <v>1</v>
      </c>
      <c r="C62" s="93"/>
      <c r="D62" s="93"/>
      <c r="E62" s="102"/>
      <c r="I62" s="96"/>
    </row>
    <row r="63" spans="1:9" x14ac:dyDescent="0.3">
      <c r="A63" s="91" t="s">
        <v>207</v>
      </c>
      <c r="B63" s="92">
        <v>1</v>
      </c>
      <c r="C63" s="93"/>
      <c r="D63" s="93"/>
      <c r="E63" s="102"/>
      <c r="I63" s="96"/>
    </row>
    <row r="64" spans="1:9" x14ac:dyDescent="0.3">
      <c r="A64" s="91" t="s">
        <v>208</v>
      </c>
      <c r="B64" s="92">
        <v>1</v>
      </c>
      <c r="C64" s="93"/>
      <c r="D64" s="93"/>
      <c r="E64" s="102"/>
      <c r="I64" s="96"/>
    </row>
    <row r="65" spans="1:9" x14ac:dyDescent="0.3">
      <c r="A65" s="91" t="s">
        <v>209</v>
      </c>
      <c r="B65" s="92">
        <v>1</v>
      </c>
      <c r="C65" s="93"/>
      <c r="D65" s="93"/>
      <c r="E65" s="102"/>
      <c r="I65" s="96"/>
    </row>
    <row r="66" spans="1:9" x14ac:dyDescent="0.3">
      <c r="A66" s="91" t="s">
        <v>210</v>
      </c>
      <c r="B66" s="92">
        <v>1</v>
      </c>
      <c r="C66" s="93"/>
      <c r="D66" s="93"/>
      <c r="E66" s="102"/>
      <c r="I66" s="96"/>
    </row>
    <row r="67" spans="1:9" x14ac:dyDescent="0.3">
      <c r="A67" s="91"/>
      <c r="B67" s="92"/>
      <c r="C67" s="93"/>
      <c r="D67" s="93"/>
      <c r="E67" s="102"/>
      <c r="I67" s="96"/>
    </row>
    <row r="68" spans="1:9" x14ac:dyDescent="0.3">
      <c r="A68" s="91"/>
      <c r="B68" s="92"/>
      <c r="C68" s="93"/>
      <c r="D68" s="93"/>
      <c r="E68" s="102"/>
      <c r="I68" s="96"/>
    </row>
    <row r="69" spans="1:9" x14ac:dyDescent="0.3">
      <c r="A69" s="91"/>
      <c r="B69" s="92"/>
      <c r="C69" s="93"/>
      <c r="D69" s="93"/>
      <c r="E69" s="102"/>
      <c r="I69" s="96"/>
    </row>
    <row r="70" spans="1:9" x14ac:dyDescent="0.3">
      <c r="A70" s="91"/>
      <c r="B70" s="92"/>
      <c r="C70" s="93"/>
      <c r="D70" s="93"/>
      <c r="E70" s="102"/>
      <c r="I70" s="96"/>
    </row>
    <row r="71" spans="1:9" ht="15" thickBot="1" x14ac:dyDescent="0.35">
      <c r="A71" s="91"/>
      <c r="B71" s="92"/>
      <c r="C71" s="93"/>
      <c r="D71" s="93"/>
      <c r="E71" s="102"/>
      <c r="I71" s="96"/>
    </row>
    <row r="72" spans="1:9" ht="17.25" customHeight="1" thickBot="1" x14ac:dyDescent="0.35">
      <c r="B72" s="103">
        <f>SUM(B4:B71)</f>
        <v>638</v>
      </c>
      <c r="D72" s="93"/>
      <c r="E72" s="102"/>
    </row>
    <row r="73" spans="1:9" x14ac:dyDescent="0.3">
      <c r="D73" s="93"/>
      <c r="E73" s="102"/>
    </row>
    <row r="74" spans="1:9" x14ac:dyDescent="0.3">
      <c r="D74" s="93"/>
      <c r="E74" s="102"/>
    </row>
    <row r="75" spans="1:9" x14ac:dyDescent="0.3">
      <c r="D75" s="93"/>
      <c r="E75" s="102"/>
    </row>
    <row r="76" spans="1:9" x14ac:dyDescent="0.3">
      <c r="D76" s="93"/>
      <c r="E76" s="102"/>
    </row>
    <row r="77" spans="1:9" x14ac:dyDescent="0.3">
      <c r="D77" s="93"/>
      <c r="E77" s="102"/>
    </row>
    <row r="78" spans="1:9" x14ac:dyDescent="0.3">
      <c r="D78" s="93"/>
      <c r="E78" s="102"/>
    </row>
    <row r="79" spans="1:9" x14ac:dyDescent="0.3">
      <c r="D79" s="93"/>
      <c r="E79" s="102"/>
    </row>
  </sheetData>
  <mergeCells count="4">
    <mergeCell ref="A1:E1"/>
    <mergeCell ref="A2:B2"/>
    <mergeCell ref="D2:E2"/>
    <mergeCell ref="M3:S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H139"/>
  <sheetViews>
    <sheetView zoomScale="90" zoomScaleNormal="90" workbookViewId="0">
      <selection activeCell="L6" sqref="L6"/>
    </sheetView>
  </sheetViews>
  <sheetFormatPr baseColWidth="10" defaultColWidth="9.109375" defaultRowHeight="14.4" x14ac:dyDescent="0.3"/>
  <cols>
    <col min="1" max="1" width="21.44140625" customWidth="1"/>
    <col min="2" max="2" width="10.33203125" customWidth="1"/>
    <col min="3" max="3" width="9.6640625" customWidth="1"/>
    <col min="4" max="4" width="10.6640625" bestFit="1" customWidth="1"/>
    <col min="5" max="5" width="10.6640625" customWidth="1"/>
    <col min="6" max="6" width="1.44140625" customWidth="1"/>
    <col min="7" max="7" width="21.44140625" customWidth="1"/>
    <col min="8" max="8" width="10.33203125" bestFit="1" customWidth="1"/>
    <col min="9" max="9" width="9.6640625" bestFit="1" customWidth="1"/>
    <col min="10" max="10" width="9.33203125" customWidth="1"/>
    <col min="11" max="11" width="3" customWidth="1"/>
    <col min="12" max="12" width="21.44140625" customWidth="1"/>
    <col min="13" max="13" width="10.33203125" customWidth="1"/>
    <col min="14" max="14" width="10.109375" bestFit="1" customWidth="1"/>
    <col min="16" max="16" width="1.44140625" customWidth="1"/>
    <col min="17" max="17" width="21.44140625" customWidth="1"/>
    <col min="18" max="18" width="10.33203125" bestFit="1" customWidth="1"/>
    <col min="19" max="19" width="10" bestFit="1" customWidth="1"/>
    <col min="20" max="20" width="9.33203125" customWidth="1"/>
    <col min="21" max="21" width="23" bestFit="1" customWidth="1"/>
    <col min="22" max="22" width="9.109375" customWidth="1"/>
    <col min="24" max="24" width="4" customWidth="1"/>
    <col min="25" max="25" width="7.88671875" customWidth="1"/>
    <col min="26" max="26" width="11.44140625" bestFit="1" customWidth="1"/>
    <col min="27" max="28" width="12.33203125" customWidth="1"/>
    <col min="29" max="29" width="5.6640625" customWidth="1"/>
    <col min="30" max="30" width="8" customWidth="1"/>
    <col min="31" max="31" width="11.44140625" bestFit="1" customWidth="1"/>
    <col min="32" max="33" width="12.33203125" customWidth="1"/>
    <col min="34" max="34" width="5.6640625" customWidth="1"/>
  </cols>
  <sheetData>
    <row r="1" spans="1:34" ht="15" thickBot="1" x14ac:dyDescent="0.35">
      <c r="A1" s="252" t="s">
        <v>43</v>
      </c>
      <c r="B1" s="253"/>
      <c r="C1" s="253"/>
      <c r="D1" s="253"/>
      <c r="E1" s="253"/>
      <c r="F1" s="253"/>
      <c r="G1" s="253"/>
      <c r="H1" s="253"/>
      <c r="I1" s="253"/>
      <c r="J1" s="254"/>
      <c r="L1" s="255" t="s">
        <v>44</v>
      </c>
      <c r="M1" s="256"/>
      <c r="N1" s="256"/>
      <c r="O1" s="256"/>
      <c r="P1" s="256"/>
      <c r="Q1" s="256"/>
      <c r="R1" s="256"/>
      <c r="S1" s="256"/>
      <c r="T1" s="257"/>
    </row>
    <row r="2" spans="1:34" ht="15" thickBot="1" x14ac:dyDescent="0.35">
      <c r="A2" s="258" t="s">
        <v>45</v>
      </c>
      <c r="B2" s="259"/>
      <c r="C2" s="259"/>
      <c r="D2" s="260"/>
      <c r="E2" s="212"/>
      <c r="F2" s="2"/>
      <c r="G2" s="258" t="s">
        <v>46</v>
      </c>
      <c r="H2" s="259"/>
      <c r="I2" s="259"/>
      <c r="J2" s="260"/>
      <c r="K2" s="2"/>
      <c r="L2" s="261" t="s">
        <v>45</v>
      </c>
      <c r="M2" s="262"/>
      <c r="N2" s="262"/>
      <c r="O2" s="263"/>
      <c r="Q2" s="261" t="s">
        <v>46</v>
      </c>
      <c r="R2" s="262"/>
      <c r="S2" s="262"/>
      <c r="T2" s="263"/>
    </row>
    <row r="3" spans="1:34" ht="44.25" customHeight="1" thickBot="1" x14ac:dyDescent="0.4">
      <c r="A3" s="121" t="s">
        <v>47</v>
      </c>
      <c r="B3" s="122" t="s">
        <v>48</v>
      </c>
      <c r="C3" s="123" t="s">
        <v>7</v>
      </c>
      <c r="D3" s="124" t="s">
        <v>8</v>
      </c>
      <c r="E3" s="284"/>
      <c r="F3" s="6"/>
      <c r="G3" s="121" t="s">
        <v>47</v>
      </c>
      <c r="H3" s="122" t="s">
        <v>48</v>
      </c>
      <c r="I3" s="123" t="s">
        <v>7</v>
      </c>
      <c r="J3" s="124" t="s">
        <v>8</v>
      </c>
      <c r="K3" s="6"/>
      <c r="L3" s="125" t="s">
        <v>47</v>
      </c>
      <c r="M3" s="126" t="s">
        <v>48</v>
      </c>
      <c r="N3" s="127" t="s">
        <v>49</v>
      </c>
      <c r="O3" s="128" t="s">
        <v>8</v>
      </c>
      <c r="Q3" s="125" t="s">
        <v>47</v>
      </c>
      <c r="R3" s="126" t="s">
        <v>48</v>
      </c>
      <c r="S3" s="127" t="s">
        <v>49</v>
      </c>
      <c r="T3" s="128" t="s">
        <v>8</v>
      </c>
      <c r="U3" t="s">
        <v>50</v>
      </c>
      <c r="V3" s="206" t="s">
        <v>380</v>
      </c>
      <c r="W3" s="206" t="s">
        <v>380</v>
      </c>
      <c r="Y3" s="244" t="s">
        <v>51</v>
      </c>
      <c r="Z3" s="245"/>
      <c r="AA3" s="245"/>
      <c r="AB3" s="245"/>
      <c r="AC3" s="245"/>
      <c r="AD3" s="245"/>
      <c r="AE3" s="245"/>
      <c r="AF3" s="245"/>
      <c r="AG3" s="245"/>
      <c r="AH3" s="246"/>
    </row>
    <row r="4" spans="1:34" ht="15" customHeight="1" thickBot="1" x14ac:dyDescent="0.35">
      <c r="A4" s="129" t="s">
        <v>211</v>
      </c>
      <c r="B4" s="130">
        <v>2190</v>
      </c>
      <c r="C4" s="130">
        <v>11</v>
      </c>
      <c r="D4" s="131">
        <v>5022</v>
      </c>
      <c r="E4" s="285">
        <f>11/2190*1000000</f>
        <v>5022.8310502283102</v>
      </c>
      <c r="F4" s="99"/>
      <c r="G4" s="129" t="s">
        <v>213</v>
      </c>
      <c r="H4" s="130">
        <v>3336</v>
      </c>
      <c r="I4" s="130">
        <v>11</v>
      </c>
      <c r="J4" s="131">
        <v>3297</v>
      </c>
      <c r="K4" s="99"/>
      <c r="L4" s="129" t="s">
        <v>211</v>
      </c>
      <c r="M4" s="130">
        <v>210</v>
      </c>
      <c r="N4" s="130">
        <v>2</v>
      </c>
      <c r="O4" s="131">
        <v>9523</v>
      </c>
      <c r="P4" s="99"/>
      <c r="Q4" s="129" t="s">
        <v>213</v>
      </c>
      <c r="R4" s="130">
        <v>270</v>
      </c>
      <c r="S4" s="130">
        <v>2</v>
      </c>
      <c r="T4" s="131">
        <v>7407</v>
      </c>
      <c r="U4" s="132" t="str">
        <f>L4</f>
        <v>AMAYRANI JOSELYN SCHIAFFINI SOSA</v>
      </c>
      <c r="V4" s="133">
        <f>N4</f>
        <v>2</v>
      </c>
      <c r="W4" s="134">
        <f>O4</f>
        <v>9523</v>
      </c>
      <c r="Y4" s="247" t="s">
        <v>45</v>
      </c>
      <c r="Z4" s="248"/>
      <c r="AA4" s="248"/>
      <c r="AB4" s="248"/>
      <c r="AC4" s="248"/>
      <c r="AD4" s="248" t="s">
        <v>46</v>
      </c>
      <c r="AE4" s="248"/>
      <c r="AF4" s="248"/>
      <c r="AG4" s="248"/>
      <c r="AH4" s="249"/>
    </row>
    <row r="5" spans="1:34" ht="15.75" customHeight="1" thickBot="1" x14ac:dyDescent="0.35">
      <c r="A5" s="135" t="s">
        <v>212</v>
      </c>
      <c r="B5" s="136">
        <v>1368</v>
      </c>
      <c r="C5" s="136">
        <v>6</v>
      </c>
      <c r="D5" s="37">
        <v>4385</v>
      </c>
      <c r="E5" s="285"/>
      <c r="F5" s="99"/>
      <c r="G5" s="135" t="s">
        <v>217</v>
      </c>
      <c r="H5" s="136">
        <v>6420</v>
      </c>
      <c r="I5" s="136">
        <v>12</v>
      </c>
      <c r="J5" s="37">
        <v>1869</v>
      </c>
      <c r="K5" s="99"/>
      <c r="L5" s="135" t="s">
        <v>222</v>
      </c>
      <c r="M5" s="136">
        <v>480</v>
      </c>
      <c r="N5" s="136">
        <v>3</v>
      </c>
      <c r="O5" s="37">
        <v>6250</v>
      </c>
      <c r="P5" s="99"/>
      <c r="Q5" s="135" t="s">
        <v>259</v>
      </c>
      <c r="R5" s="136">
        <v>195</v>
      </c>
      <c r="S5" s="136">
        <v>1</v>
      </c>
      <c r="T5" s="37">
        <v>5128</v>
      </c>
      <c r="U5" s="137" t="str">
        <f t="shared" ref="U5:U6" si="0">L5</f>
        <v>YASSURI DIANELA ALVAREZ CANO</v>
      </c>
      <c r="V5" s="138">
        <f t="shared" ref="V5:W6" si="1">N5</f>
        <v>3</v>
      </c>
      <c r="W5" s="139">
        <f t="shared" si="1"/>
        <v>6250</v>
      </c>
      <c r="Y5" s="250" t="s">
        <v>216</v>
      </c>
      <c r="Z5" s="251"/>
      <c r="AA5" s="251"/>
      <c r="AB5" s="251"/>
      <c r="AC5" s="140"/>
      <c r="AD5" s="250"/>
      <c r="AE5" s="251"/>
      <c r="AF5" s="251"/>
      <c r="AG5" s="251"/>
      <c r="AH5" s="141"/>
    </row>
    <row r="6" spans="1:34" ht="15" thickBot="1" x14ac:dyDescent="0.35">
      <c r="A6" s="142" t="s">
        <v>84</v>
      </c>
      <c r="B6" s="136">
        <v>270</v>
      </c>
      <c r="C6" s="143">
        <v>1</v>
      </c>
      <c r="D6" s="37">
        <v>3703</v>
      </c>
      <c r="E6" s="285"/>
      <c r="F6" s="99"/>
      <c r="G6" s="142" t="s">
        <v>82</v>
      </c>
      <c r="H6" s="136">
        <v>2160</v>
      </c>
      <c r="I6" s="143">
        <v>4</v>
      </c>
      <c r="J6" s="37">
        <v>1851</v>
      </c>
      <c r="K6" s="99"/>
      <c r="L6" s="142" t="s">
        <v>215</v>
      </c>
      <c r="M6" s="136">
        <v>330</v>
      </c>
      <c r="N6" s="143">
        <v>2</v>
      </c>
      <c r="O6" s="37">
        <v>6060</v>
      </c>
      <c r="P6" s="99"/>
      <c r="Q6" s="142" t="s">
        <v>269</v>
      </c>
      <c r="R6" s="136">
        <v>676</v>
      </c>
      <c r="S6" s="143">
        <v>3</v>
      </c>
      <c r="T6" s="37">
        <v>4437</v>
      </c>
      <c r="U6" s="137" t="str">
        <f t="shared" si="0"/>
        <v>ROBERTO CARLOS MARTINEZ GONZALEZ</v>
      </c>
      <c r="V6" s="138">
        <f t="shared" si="1"/>
        <v>2</v>
      </c>
      <c r="W6" s="139">
        <f t="shared" si="1"/>
        <v>6060</v>
      </c>
      <c r="Y6" s="1" t="s">
        <v>150</v>
      </c>
      <c r="Z6" s="1">
        <v>2</v>
      </c>
      <c r="AA6" s="1" t="s">
        <v>149</v>
      </c>
      <c r="AB6" s="1">
        <v>2</v>
      </c>
      <c r="AC6" s="144"/>
      <c r="AD6" s="1"/>
      <c r="AE6" s="1"/>
      <c r="AF6" s="1"/>
      <c r="AG6" s="1"/>
      <c r="AH6" s="144"/>
    </row>
    <row r="7" spans="1:34" ht="15" thickBot="1" x14ac:dyDescent="0.35">
      <c r="A7" s="142" t="s">
        <v>214</v>
      </c>
      <c r="B7" s="136">
        <v>2341</v>
      </c>
      <c r="C7" s="136">
        <v>6</v>
      </c>
      <c r="D7" s="37">
        <v>2563</v>
      </c>
      <c r="E7" s="285"/>
      <c r="F7" s="99"/>
      <c r="G7" s="142" t="s">
        <v>219</v>
      </c>
      <c r="H7" s="136">
        <v>2356</v>
      </c>
      <c r="I7" s="136">
        <v>4</v>
      </c>
      <c r="J7" s="37">
        <v>1697</v>
      </c>
      <c r="K7" s="99"/>
      <c r="L7" s="287" t="s">
        <v>228</v>
      </c>
      <c r="M7" s="288">
        <v>570</v>
      </c>
      <c r="N7" s="288">
        <v>2</v>
      </c>
      <c r="O7" s="289">
        <v>3508</v>
      </c>
      <c r="P7" s="99"/>
      <c r="Q7" s="142" t="s">
        <v>229</v>
      </c>
      <c r="R7" s="136">
        <v>720</v>
      </c>
      <c r="S7" s="136">
        <v>3</v>
      </c>
      <c r="T7" s="37">
        <v>4166</v>
      </c>
      <c r="U7" s="137" t="str">
        <f>Q4</f>
        <v>ADONIRAM BALCAZAR VIDANA</v>
      </c>
      <c r="V7" s="138">
        <f>S4</f>
        <v>2</v>
      </c>
      <c r="W7" s="139">
        <f>T4</f>
        <v>7407</v>
      </c>
      <c r="Y7" s="145" t="s">
        <v>157</v>
      </c>
      <c r="Z7" s="146">
        <v>1</v>
      </c>
      <c r="AA7" s="146" t="s">
        <v>161</v>
      </c>
      <c r="AB7" s="146">
        <v>1</v>
      </c>
      <c r="AC7" s="146" t="s">
        <v>56</v>
      </c>
      <c r="AD7" s="145" t="s">
        <v>52</v>
      </c>
      <c r="AE7" s="146" t="s">
        <v>53</v>
      </c>
      <c r="AF7" s="146" t="s">
        <v>54</v>
      </c>
      <c r="AG7" s="146" t="s">
        <v>55</v>
      </c>
      <c r="AH7" s="147" t="s">
        <v>56</v>
      </c>
    </row>
    <row r="8" spans="1:34" x14ac:dyDescent="0.3">
      <c r="A8" s="142" t="s">
        <v>215</v>
      </c>
      <c r="B8" s="136">
        <v>2010</v>
      </c>
      <c r="C8" s="136">
        <v>4</v>
      </c>
      <c r="D8" s="37">
        <v>1990</v>
      </c>
      <c r="E8" s="285"/>
      <c r="F8" s="99"/>
      <c r="G8" s="142" t="s">
        <v>90</v>
      </c>
      <c r="H8" s="136">
        <v>4890</v>
      </c>
      <c r="I8" s="136">
        <v>8</v>
      </c>
      <c r="J8" s="37">
        <v>1635</v>
      </c>
      <c r="K8" s="99"/>
      <c r="L8" s="287" t="s">
        <v>216</v>
      </c>
      <c r="M8" s="288">
        <v>1800</v>
      </c>
      <c r="N8" s="288">
        <v>5</v>
      </c>
      <c r="O8" s="289">
        <v>2777</v>
      </c>
      <c r="P8" s="99"/>
      <c r="Q8" s="142" t="s">
        <v>82</v>
      </c>
      <c r="R8" s="136">
        <v>330</v>
      </c>
      <c r="S8" s="136">
        <v>1</v>
      </c>
      <c r="T8" s="37">
        <v>3030</v>
      </c>
      <c r="U8" s="137" t="str">
        <f t="shared" ref="U8:U9" si="2">Q5</f>
        <v>JOSAFAT JIMENEZ ALEGRIA</v>
      </c>
      <c r="V8" s="138">
        <f t="shared" ref="V8:W9" si="3">S5</f>
        <v>1</v>
      </c>
      <c r="W8" s="139">
        <f t="shared" si="3"/>
        <v>5128</v>
      </c>
      <c r="Y8" s="148" t="s">
        <v>155</v>
      </c>
      <c r="Z8" s="149">
        <v>1</v>
      </c>
      <c r="AA8" s="149"/>
      <c r="AB8" s="149"/>
      <c r="AC8" s="149"/>
      <c r="AD8" s="149"/>
      <c r="AE8" s="149"/>
      <c r="AF8" s="149"/>
      <c r="AG8" s="149"/>
      <c r="AH8" s="150"/>
    </row>
    <row r="9" spans="1:34" ht="15" thickBot="1" x14ac:dyDescent="0.35">
      <c r="A9" s="142" t="s">
        <v>216</v>
      </c>
      <c r="B9" s="136">
        <v>8790</v>
      </c>
      <c r="C9" s="136">
        <v>17</v>
      </c>
      <c r="D9" s="37">
        <v>1934</v>
      </c>
      <c r="E9" s="285"/>
      <c r="F9" s="99"/>
      <c r="G9" s="142" t="s">
        <v>221</v>
      </c>
      <c r="H9" s="136">
        <v>5612</v>
      </c>
      <c r="I9" s="136">
        <v>9</v>
      </c>
      <c r="J9" s="37">
        <v>1603</v>
      </c>
      <c r="K9" s="99"/>
      <c r="L9" s="142" t="s">
        <v>262</v>
      </c>
      <c r="M9" s="136">
        <v>420</v>
      </c>
      <c r="N9" s="136">
        <v>1</v>
      </c>
      <c r="O9" s="37">
        <v>2380</v>
      </c>
      <c r="P9" s="99"/>
      <c r="Q9" s="142" t="s">
        <v>115</v>
      </c>
      <c r="R9" s="136">
        <v>675</v>
      </c>
      <c r="S9" s="136">
        <v>2</v>
      </c>
      <c r="T9" s="37">
        <v>2962</v>
      </c>
      <c r="U9" s="151" t="str">
        <f t="shared" si="2"/>
        <v>LILIA ROSA MADRIGAL LOPEZ</v>
      </c>
      <c r="V9" s="152">
        <f t="shared" si="3"/>
        <v>3</v>
      </c>
      <c r="W9" s="153">
        <f t="shared" si="3"/>
        <v>4437</v>
      </c>
      <c r="Y9" s="154" t="s">
        <v>153</v>
      </c>
      <c r="Z9" s="155">
        <v>1</v>
      </c>
      <c r="AA9" s="155"/>
      <c r="AB9" s="155"/>
      <c r="AC9" s="155"/>
      <c r="AD9" s="155"/>
      <c r="AE9" s="155"/>
      <c r="AF9" s="155"/>
      <c r="AG9" s="155"/>
      <c r="AH9" s="156"/>
    </row>
    <row r="10" spans="1:34" ht="15" thickBot="1" x14ac:dyDescent="0.35">
      <c r="A10" s="142" t="s">
        <v>218</v>
      </c>
      <c r="B10" s="136">
        <v>12165</v>
      </c>
      <c r="C10" s="136">
        <v>21</v>
      </c>
      <c r="D10" s="37">
        <v>1726</v>
      </c>
      <c r="E10" s="285"/>
      <c r="F10" s="99"/>
      <c r="G10" s="142" t="s">
        <v>115</v>
      </c>
      <c r="H10" s="136">
        <v>13395</v>
      </c>
      <c r="I10" s="136">
        <v>19</v>
      </c>
      <c r="J10" s="37">
        <v>1418</v>
      </c>
      <c r="K10" s="99"/>
      <c r="L10" s="142" t="s">
        <v>264</v>
      </c>
      <c r="M10" s="136">
        <v>420</v>
      </c>
      <c r="N10" s="136">
        <v>1</v>
      </c>
      <c r="O10" s="37">
        <v>2380</v>
      </c>
      <c r="P10" s="99"/>
      <c r="Q10" s="142" t="s">
        <v>266</v>
      </c>
      <c r="R10" s="136">
        <v>360</v>
      </c>
      <c r="S10" s="136">
        <v>1</v>
      </c>
      <c r="T10" s="37">
        <v>2777</v>
      </c>
      <c r="U10" t="s">
        <v>4</v>
      </c>
      <c r="Y10" s="154"/>
      <c r="Z10" s="155"/>
      <c r="AA10" s="155"/>
      <c r="AB10" s="155"/>
      <c r="AC10" s="155"/>
      <c r="AD10" s="155"/>
      <c r="AE10" s="155"/>
      <c r="AF10" s="155"/>
      <c r="AG10" s="155"/>
      <c r="AH10" s="156"/>
    </row>
    <row r="11" spans="1:34" x14ac:dyDescent="0.3">
      <c r="A11" s="142" t="s">
        <v>128</v>
      </c>
      <c r="B11" s="136">
        <v>3015</v>
      </c>
      <c r="C11" s="136">
        <v>5</v>
      </c>
      <c r="D11" s="37">
        <v>1658</v>
      </c>
      <c r="E11" s="285"/>
      <c r="F11" s="99"/>
      <c r="G11" s="142" t="s">
        <v>225</v>
      </c>
      <c r="H11" s="136">
        <v>6900</v>
      </c>
      <c r="I11" s="136">
        <v>9</v>
      </c>
      <c r="J11" s="37">
        <v>1304</v>
      </c>
      <c r="K11" s="99"/>
      <c r="L11" s="142" t="s">
        <v>298</v>
      </c>
      <c r="M11" s="136">
        <v>450</v>
      </c>
      <c r="N11" s="136">
        <v>1</v>
      </c>
      <c r="O11" s="37">
        <v>2222</v>
      </c>
      <c r="P11" s="99"/>
      <c r="Q11" s="142" t="s">
        <v>255</v>
      </c>
      <c r="R11" s="136">
        <v>750</v>
      </c>
      <c r="S11" s="136">
        <v>2</v>
      </c>
      <c r="T11" s="37">
        <v>2666</v>
      </c>
      <c r="U11" s="132" t="str">
        <f>A4</f>
        <v>AMAYRANI JOSELYN SCHIAFFINI SOSA</v>
      </c>
      <c r="V11" s="133">
        <f>C4</f>
        <v>11</v>
      </c>
      <c r="W11" s="134">
        <f>D4</f>
        <v>5022</v>
      </c>
      <c r="Y11" s="154"/>
      <c r="Z11" s="155"/>
      <c r="AA11" s="155"/>
      <c r="AB11" s="155"/>
      <c r="AC11" s="155"/>
      <c r="AD11" s="155"/>
      <c r="AE11" s="155"/>
      <c r="AF11" s="155"/>
      <c r="AG11" s="155"/>
      <c r="AH11" s="156"/>
    </row>
    <row r="12" spans="1:34" ht="15" thickBot="1" x14ac:dyDescent="0.35">
      <c r="A12" s="142" t="s">
        <v>220</v>
      </c>
      <c r="B12" s="136">
        <v>9240</v>
      </c>
      <c r="C12" s="136">
        <v>15</v>
      </c>
      <c r="D12" s="37">
        <v>1623</v>
      </c>
      <c r="E12" s="285"/>
      <c r="F12" s="99"/>
      <c r="G12" s="142" t="s">
        <v>226</v>
      </c>
      <c r="H12" s="136">
        <v>6285</v>
      </c>
      <c r="I12" s="136">
        <v>8</v>
      </c>
      <c r="J12" s="37">
        <v>1272</v>
      </c>
      <c r="K12" s="99"/>
      <c r="L12" s="287" t="s">
        <v>245</v>
      </c>
      <c r="M12" s="288">
        <v>1365</v>
      </c>
      <c r="N12" s="288">
        <v>3</v>
      </c>
      <c r="O12" s="289">
        <v>2197</v>
      </c>
      <c r="P12" s="99"/>
      <c r="Q12" s="142" t="s">
        <v>288</v>
      </c>
      <c r="R12" s="136">
        <v>420</v>
      </c>
      <c r="S12" s="136">
        <v>1</v>
      </c>
      <c r="T12" s="37">
        <v>2380</v>
      </c>
      <c r="U12" s="137" t="str">
        <f t="shared" ref="U12:U13" si="4">A5</f>
        <v>DIANA LIZET MENDEZ ANTONIO</v>
      </c>
      <c r="V12" s="138">
        <f>C5</f>
        <v>6</v>
      </c>
      <c r="W12" s="139">
        <f>D5</f>
        <v>4385</v>
      </c>
      <c r="Y12" s="157"/>
      <c r="Z12" s="158"/>
      <c r="AA12" s="158"/>
      <c r="AB12" s="158"/>
      <c r="AC12" s="158"/>
      <c r="AD12" s="158"/>
      <c r="AE12" s="158"/>
      <c r="AF12" s="158"/>
      <c r="AG12" s="158"/>
      <c r="AH12" s="159"/>
    </row>
    <row r="13" spans="1:34" x14ac:dyDescent="0.3">
      <c r="A13" s="142" t="s">
        <v>222</v>
      </c>
      <c r="B13" s="136">
        <v>3750</v>
      </c>
      <c r="C13" s="136">
        <v>6</v>
      </c>
      <c r="D13" s="37">
        <v>1600</v>
      </c>
      <c r="E13" s="285"/>
      <c r="F13" s="99"/>
      <c r="G13" s="142" t="s">
        <v>227</v>
      </c>
      <c r="H13" s="136">
        <v>4770</v>
      </c>
      <c r="I13" s="136">
        <v>6</v>
      </c>
      <c r="J13" s="37">
        <v>1257</v>
      </c>
      <c r="K13" s="99"/>
      <c r="L13" s="287" t="s">
        <v>276</v>
      </c>
      <c r="M13" s="288">
        <v>930</v>
      </c>
      <c r="N13" s="288">
        <v>2</v>
      </c>
      <c r="O13" s="289">
        <v>2150</v>
      </c>
      <c r="P13" s="99"/>
      <c r="Q13" s="142" t="s">
        <v>299</v>
      </c>
      <c r="R13" s="136">
        <v>930</v>
      </c>
      <c r="S13" s="136">
        <v>2</v>
      </c>
      <c r="T13" s="37">
        <v>2150</v>
      </c>
      <c r="U13" s="137" t="str">
        <f t="shared" si="4"/>
        <v>ALEXIS RINCON MORALES</v>
      </c>
      <c r="V13" s="138">
        <f>C6</f>
        <v>1</v>
      </c>
      <c r="W13" s="139">
        <f>D6</f>
        <v>3703</v>
      </c>
    </row>
    <row r="14" spans="1:34" x14ac:dyDescent="0.3">
      <c r="A14" s="142" t="s">
        <v>223</v>
      </c>
      <c r="B14" s="136">
        <v>13605</v>
      </c>
      <c r="C14" s="136">
        <v>21</v>
      </c>
      <c r="D14" s="37">
        <v>1543</v>
      </c>
      <c r="E14" s="285"/>
      <c r="F14" s="99"/>
      <c r="G14" s="142" t="s">
        <v>229</v>
      </c>
      <c r="H14" s="136">
        <v>8850</v>
      </c>
      <c r="I14" s="136">
        <v>11</v>
      </c>
      <c r="J14" s="37">
        <v>1242</v>
      </c>
      <c r="K14" s="99"/>
      <c r="L14" s="142" t="s">
        <v>253</v>
      </c>
      <c r="M14" s="136">
        <v>540</v>
      </c>
      <c r="N14" s="136">
        <v>1</v>
      </c>
      <c r="O14" s="37">
        <v>1851</v>
      </c>
      <c r="P14" s="99"/>
      <c r="Q14" s="142" t="s">
        <v>232</v>
      </c>
      <c r="R14" s="136">
        <v>510</v>
      </c>
      <c r="S14" s="136">
        <v>1</v>
      </c>
      <c r="T14" s="37">
        <v>1960</v>
      </c>
      <c r="U14" s="137" t="str">
        <f>G4</f>
        <v>ADONIRAM BALCAZAR VIDANA</v>
      </c>
      <c r="V14" s="138">
        <f>I4</f>
        <v>11</v>
      </c>
      <c r="W14" s="139">
        <f>J4</f>
        <v>3297</v>
      </c>
    </row>
    <row r="15" spans="1:34" x14ac:dyDescent="0.3">
      <c r="A15" s="142" t="s">
        <v>224</v>
      </c>
      <c r="B15" s="136">
        <v>2115</v>
      </c>
      <c r="C15" s="136">
        <v>3</v>
      </c>
      <c r="D15" s="37">
        <v>1418</v>
      </c>
      <c r="E15" s="285"/>
      <c r="F15" s="99"/>
      <c r="G15" s="142" t="s">
        <v>230</v>
      </c>
      <c r="H15" s="136">
        <v>4830</v>
      </c>
      <c r="I15" s="136">
        <v>6</v>
      </c>
      <c r="J15" s="37">
        <v>1242</v>
      </c>
      <c r="K15" s="99"/>
      <c r="L15" s="287" t="s">
        <v>304</v>
      </c>
      <c r="M15" s="288">
        <v>840</v>
      </c>
      <c r="N15" s="288">
        <v>1</v>
      </c>
      <c r="O15" s="289">
        <v>1190</v>
      </c>
      <c r="P15" s="290"/>
      <c r="Q15" s="142" t="s">
        <v>221</v>
      </c>
      <c r="R15" s="136">
        <v>660</v>
      </c>
      <c r="S15" s="136">
        <v>1</v>
      </c>
      <c r="T15" s="37">
        <v>1515</v>
      </c>
      <c r="U15" s="137" t="str">
        <f t="shared" ref="U15:U16" si="5">G5</f>
        <v>FILEMON MARTINEZ FELIPE</v>
      </c>
      <c r="V15" s="138">
        <f t="shared" ref="V15:W16" si="6">I5</f>
        <v>12</v>
      </c>
      <c r="W15" s="139">
        <f t="shared" si="6"/>
        <v>1869</v>
      </c>
    </row>
    <row r="16" spans="1:34" ht="15" thickBot="1" x14ac:dyDescent="0.35">
      <c r="A16" s="142" t="s">
        <v>86</v>
      </c>
      <c r="B16" s="136">
        <v>12015</v>
      </c>
      <c r="C16" s="136">
        <v>15</v>
      </c>
      <c r="D16" s="37">
        <v>1248</v>
      </c>
      <c r="E16" s="285"/>
      <c r="F16" s="99"/>
      <c r="G16" s="142" t="s">
        <v>231</v>
      </c>
      <c r="H16" s="136">
        <v>2460</v>
      </c>
      <c r="I16" s="136">
        <v>3</v>
      </c>
      <c r="J16" s="37">
        <v>1219</v>
      </c>
      <c r="K16" s="99"/>
      <c r="L16" s="287" t="s">
        <v>282</v>
      </c>
      <c r="M16" s="288">
        <v>990</v>
      </c>
      <c r="N16" s="288">
        <v>1</v>
      </c>
      <c r="O16" s="289">
        <v>1010</v>
      </c>
      <c r="P16" s="99"/>
      <c r="Q16" s="142" t="s">
        <v>300</v>
      </c>
      <c r="R16" s="136">
        <v>720</v>
      </c>
      <c r="S16" s="136">
        <v>1</v>
      </c>
      <c r="T16" s="37">
        <v>1388</v>
      </c>
      <c r="U16" s="151" t="str">
        <f t="shared" si="5"/>
        <v>ALBINO ANTONIO PEREZ</v>
      </c>
      <c r="V16" s="152">
        <f t="shared" si="6"/>
        <v>4</v>
      </c>
      <c r="W16" s="153">
        <f t="shared" si="6"/>
        <v>1851</v>
      </c>
    </row>
    <row r="17" spans="1:20" x14ac:dyDescent="0.3">
      <c r="A17" s="142" t="s">
        <v>228</v>
      </c>
      <c r="B17" s="136">
        <v>4020</v>
      </c>
      <c r="C17" s="136">
        <v>5</v>
      </c>
      <c r="D17" s="37">
        <v>1243</v>
      </c>
      <c r="E17" s="285"/>
      <c r="F17" s="99"/>
      <c r="G17" s="142" t="s">
        <v>232</v>
      </c>
      <c r="H17" s="136">
        <v>2460</v>
      </c>
      <c r="I17" s="136">
        <v>3</v>
      </c>
      <c r="J17" s="37">
        <v>1219</v>
      </c>
      <c r="K17" s="99"/>
      <c r="L17" s="142" t="s">
        <v>258</v>
      </c>
      <c r="M17" s="136">
        <v>390</v>
      </c>
      <c r="N17" s="136">
        <v>0</v>
      </c>
      <c r="O17" s="37">
        <v>0</v>
      </c>
      <c r="P17" s="99"/>
      <c r="Q17" s="142" t="s">
        <v>236</v>
      </c>
      <c r="R17" s="136">
        <v>870</v>
      </c>
      <c r="S17" s="136">
        <v>1</v>
      </c>
      <c r="T17" s="37">
        <v>1149</v>
      </c>
    </row>
    <row r="18" spans="1:20" x14ac:dyDescent="0.3">
      <c r="A18" s="142" t="s">
        <v>85</v>
      </c>
      <c r="B18" s="136">
        <v>840</v>
      </c>
      <c r="C18" s="136">
        <v>1</v>
      </c>
      <c r="D18" s="37">
        <v>1190</v>
      </c>
      <c r="E18" s="285"/>
      <c r="F18" s="99"/>
      <c r="G18" s="142" t="s">
        <v>111</v>
      </c>
      <c r="H18" s="136">
        <v>2490</v>
      </c>
      <c r="I18" s="136">
        <v>3</v>
      </c>
      <c r="J18" s="37">
        <v>1204</v>
      </c>
      <c r="K18" s="99"/>
      <c r="L18" s="142" t="s">
        <v>290</v>
      </c>
      <c r="M18" s="136">
        <v>240</v>
      </c>
      <c r="N18" s="136">
        <v>0</v>
      </c>
      <c r="O18" s="37">
        <v>0</v>
      </c>
      <c r="P18" s="99"/>
      <c r="Q18" s="142" t="s">
        <v>252</v>
      </c>
      <c r="R18" s="136">
        <v>870</v>
      </c>
      <c r="S18" s="136">
        <v>1</v>
      </c>
      <c r="T18" s="37">
        <v>1149</v>
      </c>
    </row>
    <row r="19" spans="1:20" x14ac:dyDescent="0.3">
      <c r="A19" s="142" t="s">
        <v>237</v>
      </c>
      <c r="B19" s="136">
        <v>1740</v>
      </c>
      <c r="C19" s="143">
        <v>2</v>
      </c>
      <c r="D19" s="37">
        <v>1149</v>
      </c>
      <c r="E19" s="285"/>
      <c r="F19" s="99"/>
      <c r="G19" s="142" t="s">
        <v>233</v>
      </c>
      <c r="H19" s="136">
        <v>2490</v>
      </c>
      <c r="I19" s="143">
        <v>3</v>
      </c>
      <c r="J19" s="37">
        <v>1204</v>
      </c>
      <c r="K19" s="99"/>
      <c r="L19" s="142" t="s">
        <v>224</v>
      </c>
      <c r="M19" s="136">
        <v>300</v>
      </c>
      <c r="N19" s="143">
        <v>0</v>
      </c>
      <c r="O19" s="37">
        <v>0</v>
      </c>
      <c r="P19" s="99"/>
      <c r="Q19" s="142" t="s">
        <v>280</v>
      </c>
      <c r="R19" s="136">
        <v>1020</v>
      </c>
      <c r="S19" s="143">
        <v>1</v>
      </c>
      <c r="T19" s="37">
        <v>980</v>
      </c>
    </row>
    <row r="20" spans="1:20" x14ac:dyDescent="0.3">
      <c r="A20" s="142" t="s">
        <v>240</v>
      </c>
      <c r="B20" s="136">
        <v>7950</v>
      </c>
      <c r="C20" s="136">
        <v>9</v>
      </c>
      <c r="D20" s="37">
        <v>1132</v>
      </c>
      <c r="E20" s="285"/>
      <c r="F20" s="99"/>
      <c r="G20" s="142" t="s">
        <v>234</v>
      </c>
      <c r="H20" s="136">
        <v>10140</v>
      </c>
      <c r="I20" s="136">
        <v>12</v>
      </c>
      <c r="J20" s="37">
        <v>1183</v>
      </c>
      <c r="K20" s="99"/>
      <c r="L20" s="142" t="s">
        <v>214</v>
      </c>
      <c r="M20" s="136">
        <v>150</v>
      </c>
      <c r="N20" s="136">
        <v>0</v>
      </c>
      <c r="O20" s="37">
        <v>0</v>
      </c>
      <c r="P20" s="99"/>
      <c r="Q20" s="142" t="s">
        <v>251</v>
      </c>
      <c r="R20" s="136">
        <v>1320</v>
      </c>
      <c r="S20" s="136">
        <v>1</v>
      </c>
      <c r="T20" s="37">
        <v>757</v>
      </c>
    </row>
    <row r="21" spans="1:20" x14ac:dyDescent="0.3">
      <c r="A21" s="142" t="s">
        <v>245</v>
      </c>
      <c r="B21" s="136">
        <v>14745</v>
      </c>
      <c r="C21" s="136">
        <v>15</v>
      </c>
      <c r="D21" s="37">
        <v>1017</v>
      </c>
      <c r="E21" s="285"/>
      <c r="F21" s="99"/>
      <c r="G21" s="142" t="s">
        <v>235</v>
      </c>
      <c r="H21" s="136">
        <v>1695</v>
      </c>
      <c r="I21" s="136">
        <v>2</v>
      </c>
      <c r="J21" s="37">
        <v>1179</v>
      </c>
      <c r="K21" s="99"/>
      <c r="L21" s="142" t="s">
        <v>246</v>
      </c>
      <c r="M21" s="136">
        <v>90</v>
      </c>
      <c r="N21" s="136">
        <v>0</v>
      </c>
      <c r="O21" s="37">
        <v>0</v>
      </c>
      <c r="P21" s="99"/>
      <c r="Q21" s="142" t="s">
        <v>286</v>
      </c>
      <c r="R21" s="136">
        <v>1620</v>
      </c>
      <c r="S21" s="136">
        <v>1</v>
      </c>
      <c r="T21" s="37">
        <v>617</v>
      </c>
    </row>
    <row r="22" spans="1:20" x14ac:dyDescent="0.3">
      <c r="A22" s="142" t="s">
        <v>246</v>
      </c>
      <c r="B22" s="136">
        <v>2070</v>
      </c>
      <c r="C22" s="136">
        <v>2</v>
      </c>
      <c r="D22" s="37">
        <v>966</v>
      </c>
      <c r="E22" s="285"/>
      <c r="F22" s="99"/>
      <c r="G22" s="142" t="s">
        <v>236</v>
      </c>
      <c r="H22" s="136">
        <v>9541</v>
      </c>
      <c r="I22" s="136">
        <v>11</v>
      </c>
      <c r="J22" s="37">
        <v>1152</v>
      </c>
      <c r="K22" s="99"/>
      <c r="L22" s="142" t="s">
        <v>103</v>
      </c>
      <c r="M22" s="136">
        <v>180</v>
      </c>
      <c r="N22" s="136">
        <v>0</v>
      </c>
      <c r="O22" s="37">
        <v>0</v>
      </c>
      <c r="P22" s="99"/>
      <c r="Q22" s="142" t="s">
        <v>315</v>
      </c>
      <c r="R22" s="136">
        <v>60</v>
      </c>
      <c r="S22" s="136">
        <v>0</v>
      </c>
      <c r="T22" s="37">
        <v>0</v>
      </c>
    </row>
    <row r="23" spans="1:20" x14ac:dyDescent="0.3">
      <c r="A23" s="287" t="s">
        <v>247</v>
      </c>
      <c r="B23" s="288">
        <v>25951</v>
      </c>
      <c r="C23" s="288">
        <v>25</v>
      </c>
      <c r="D23" s="289">
        <v>963</v>
      </c>
      <c r="E23" s="285"/>
      <c r="F23" s="99"/>
      <c r="G23" s="142" t="s">
        <v>238</v>
      </c>
      <c r="H23" s="136">
        <v>4380</v>
      </c>
      <c r="I23" s="136">
        <v>5</v>
      </c>
      <c r="J23" s="37">
        <v>1141</v>
      </c>
      <c r="K23" s="99"/>
      <c r="L23" s="142" t="s">
        <v>135</v>
      </c>
      <c r="M23" s="136">
        <v>30</v>
      </c>
      <c r="N23" s="136">
        <v>0</v>
      </c>
      <c r="O23" s="37">
        <v>0</v>
      </c>
      <c r="P23" s="99"/>
      <c r="Q23" s="142" t="s">
        <v>307</v>
      </c>
      <c r="R23" s="136">
        <v>720</v>
      </c>
      <c r="S23" s="136">
        <v>0</v>
      </c>
      <c r="T23" s="37">
        <v>0</v>
      </c>
    </row>
    <row r="24" spans="1:20" x14ac:dyDescent="0.3">
      <c r="A24" s="142" t="s">
        <v>249</v>
      </c>
      <c r="B24" s="136">
        <v>3240</v>
      </c>
      <c r="C24" s="136">
        <v>3</v>
      </c>
      <c r="D24" s="37">
        <v>925</v>
      </c>
      <c r="E24" s="285"/>
      <c r="F24" s="99"/>
      <c r="G24" s="142" t="s">
        <v>239</v>
      </c>
      <c r="H24" s="136">
        <v>1755</v>
      </c>
      <c r="I24" s="136">
        <v>2</v>
      </c>
      <c r="J24" s="37">
        <v>1139</v>
      </c>
      <c r="K24" s="99"/>
      <c r="L24" s="142" t="s">
        <v>284</v>
      </c>
      <c r="M24" s="136">
        <v>930</v>
      </c>
      <c r="N24" s="136">
        <v>0</v>
      </c>
      <c r="O24" s="37">
        <v>0</v>
      </c>
      <c r="P24" s="99"/>
      <c r="Q24" s="142" t="s">
        <v>317</v>
      </c>
      <c r="R24" s="136">
        <v>780</v>
      </c>
      <c r="S24" s="136">
        <v>0</v>
      </c>
      <c r="T24" s="37">
        <v>0</v>
      </c>
    </row>
    <row r="25" spans="1:20" x14ac:dyDescent="0.3">
      <c r="A25" s="142" t="s">
        <v>253</v>
      </c>
      <c r="B25" s="136">
        <v>3330</v>
      </c>
      <c r="C25" s="136">
        <v>3</v>
      </c>
      <c r="D25" s="37">
        <v>900</v>
      </c>
      <c r="E25" s="285"/>
      <c r="F25" s="99"/>
      <c r="G25" s="142" t="s">
        <v>241</v>
      </c>
      <c r="H25" s="136">
        <v>3666</v>
      </c>
      <c r="I25" s="136">
        <v>4</v>
      </c>
      <c r="J25" s="37">
        <v>1091</v>
      </c>
      <c r="K25" s="99"/>
      <c r="L25" s="142" t="s">
        <v>214</v>
      </c>
      <c r="M25" s="136">
        <v>60</v>
      </c>
      <c r="N25" s="136">
        <v>0</v>
      </c>
      <c r="O25" s="37">
        <v>0</v>
      </c>
      <c r="P25" s="99"/>
      <c r="Q25" s="142" t="s">
        <v>365</v>
      </c>
      <c r="R25" s="136">
        <v>90</v>
      </c>
      <c r="S25" s="136">
        <v>0</v>
      </c>
      <c r="T25" s="37">
        <v>0</v>
      </c>
    </row>
    <row r="26" spans="1:20" x14ac:dyDescent="0.3">
      <c r="A26" s="142" t="s">
        <v>254</v>
      </c>
      <c r="B26" s="136">
        <v>14430</v>
      </c>
      <c r="C26" s="136">
        <v>13</v>
      </c>
      <c r="D26" s="37">
        <v>900</v>
      </c>
      <c r="E26" s="285"/>
      <c r="F26" s="99"/>
      <c r="G26" s="142" t="s">
        <v>139</v>
      </c>
      <c r="H26" s="136">
        <v>5520</v>
      </c>
      <c r="I26" s="136">
        <v>6</v>
      </c>
      <c r="J26" s="37">
        <v>1086</v>
      </c>
      <c r="K26" s="99"/>
      <c r="L26" s="142" t="s">
        <v>212</v>
      </c>
      <c r="M26" s="136">
        <v>165</v>
      </c>
      <c r="N26" s="136">
        <v>0</v>
      </c>
      <c r="O26" s="37">
        <v>0</v>
      </c>
      <c r="P26" s="99"/>
      <c r="Q26" s="142" t="s">
        <v>101</v>
      </c>
      <c r="R26" s="136">
        <v>60</v>
      </c>
      <c r="S26" s="136">
        <v>0</v>
      </c>
      <c r="T26" s="37">
        <v>0</v>
      </c>
    </row>
    <row r="27" spans="1:20" x14ac:dyDescent="0.3">
      <c r="A27" s="142" t="s">
        <v>256</v>
      </c>
      <c r="B27" s="136">
        <v>15330</v>
      </c>
      <c r="C27" s="136">
        <v>13</v>
      </c>
      <c r="D27" s="37">
        <v>848</v>
      </c>
      <c r="E27" s="285"/>
      <c r="F27" s="99"/>
      <c r="G27" s="142" t="s">
        <v>242</v>
      </c>
      <c r="H27" s="136">
        <v>1845</v>
      </c>
      <c r="I27" s="136">
        <v>2</v>
      </c>
      <c r="J27" s="37">
        <v>1084</v>
      </c>
      <c r="K27" s="99"/>
      <c r="L27" s="142" t="s">
        <v>287</v>
      </c>
      <c r="M27" s="136">
        <v>240</v>
      </c>
      <c r="N27" s="136">
        <v>0</v>
      </c>
      <c r="O27" s="37">
        <v>0</v>
      </c>
      <c r="P27" s="99"/>
      <c r="Q27" s="142" t="s">
        <v>88</v>
      </c>
      <c r="R27" s="136">
        <v>240</v>
      </c>
      <c r="S27" s="136">
        <v>0</v>
      </c>
      <c r="T27" s="37">
        <v>0</v>
      </c>
    </row>
    <row r="28" spans="1:20" x14ac:dyDescent="0.3">
      <c r="A28" s="142" t="s">
        <v>258</v>
      </c>
      <c r="B28" s="136">
        <v>12315</v>
      </c>
      <c r="C28" s="136">
        <v>10</v>
      </c>
      <c r="D28" s="37">
        <v>812</v>
      </c>
      <c r="E28" s="285"/>
      <c r="F28" s="99"/>
      <c r="G28" s="142" t="s">
        <v>81</v>
      </c>
      <c r="H28" s="136">
        <v>6555</v>
      </c>
      <c r="I28" s="136">
        <v>7</v>
      </c>
      <c r="J28" s="37">
        <v>1067</v>
      </c>
      <c r="K28" s="99"/>
      <c r="L28" s="142" t="s">
        <v>301</v>
      </c>
      <c r="M28" s="136">
        <v>660</v>
      </c>
      <c r="N28" s="136">
        <v>0</v>
      </c>
      <c r="O28" s="37">
        <v>0</v>
      </c>
      <c r="P28" s="99"/>
      <c r="Q28" s="142" t="s">
        <v>90</v>
      </c>
      <c r="R28" s="136">
        <v>840</v>
      </c>
      <c r="S28" s="136">
        <v>0</v>
      </c>
      <c r="T28" s="37">
        <v>0</v>
      </c>
    </row>
    <row r="29" spans="1:20" x14ac:dyDescent="0.3">
      <c r="A29" s="142" t="s">
        <v>260</v>
      </c>
      <c r="B29" s="136">
        <v>1260</v>
      </c>
      <c r="C29" s="136">
        <v>1</v>
      </c>
      <c r="D29" s="37">
        <v>793</v>
      </c>
      <c r="E29" s="285"/>
      <c r="F29" s="99"/>
      <c r="G29" s="142" t="s">
        <v>243</v>
      </c>
      <c r="H29" s="136">
        <v>4740</v>
      </c>
      <c r="I29" s="136">
        <v>5</v>
      </c>
      <c r="J29" s="37">
        <v>1054</v>
      </c>
      <c r="K29" s="99"/>
      <c r="L29" s="142" t="s">
        <v>291</v>
      </c>
      <c r="M29" s="136">
        <v>1110</v>
      </c>
      <c r="N29" s="136">
        <v>0</v>
      </c>
      <c r="O29" s="37">
        <v>0</v>
      </c>
      <c r="P29" s="99"/>
      <c r="Q29" s="142" t="s">
        <v>357</v>
      </c>
      <c r="R29" s="136">
        <v>75</v>
      </c>
      <c r="S29" s="136">
        <v>0</v>
      </c>
      <c r="T29" s="37">
        <v>0</v>
      </c>
    </row>
    <row r="30" spans="1:20" x14ac:dyDescent="0.3">
      <c r="A30" s="142" t="s">
        <v>261</v>
      </c>
      <c r="B30" s="136">
        <v>10186</v>
      </c>
      <c r="C30" s="136">
        <v>8</v>
      </c>
      <c r="D30" s="37">
        <v>785</v>
      </c>
      <c r="E30" s="285"/>
      <c r="F30" s="99"/>
      <c r="G30" s="142" t="s">
        <v>244</v>
      </c>
      <c r="H30" s="136">
        <v>6840</v>
      </c>
      <c r="I30" s="136">
        <v>7</v>
      </c>
      <c r="J30" s="37">
        <v>1023</v>
      </c>
      <c r="K30" s="99"/>
      <c r="L30" s="142" t="s">
        <v>256</v>
      </c>
      <c r="M30" s="136">
        <v>240</v>
      </c>
      <c r="N30" s="136">
        <v>0</v>
      </c>
      <c r="O30" s="37">
        <v>0</v>
      </c>
      <c r="P30" s="99"/>
      <c r="Q30" s="142" t="s">
        <v>95</v>
      </c>
      <c r="R30" s="136">
        <v>270</v>
      </c>
      <c r="S30" s="136">
        <v>0</v>
      </c>
      <c r="T30" s="37">
        <v>0</v>
      </c>
    </row>
    <row r="31" spans="1:20" x14ac:dyDescent="0.3">
      <c r="A31" s="142" t="s">
        <v>103</v>
      </c>
      <c r="B31" s="136">
        <v>3840</v>
      </c>
      <c r="C31" s="136">
        <v>3</v>
      </c>
      <c r="D31" s="37">
        <v>781</v>
      </c>
      <c r="E31" s="285"/>
      <c r="F31" s="99"/>
      <c r="G31" s="142" t="s">
        <v>248</v>
      </c>
      <c r="H31" s="136">
        <v>13620</v>
      </c>
      <c r="I31" s="136">
        <v>13</v>
      </c>
      <c r="J31" s="37">
        <v>954</v>
      </c>
      <c r="K31" s="99"/>
      <c r="L31" s="142" t="s">
        <v>254</v>
      </c>
      <c r="M31" s="136">
        <v>1170</v>
      </c>
      <c r="N31" s="136">
        <v>0</v>
      </c>
      <c r="O31" s="37">
        <v>0</v>
      </c>
      <c r="P31" s="99"/>
      <c r="Q31" s="142" t="s">
        <v>352</v>
      </c>
      <c r="R31" s="136">
        <v>30</v>
      </c>
      <c r="S31" s="136">
        <v>0</v>
      </c>
      <c r="T31" s="37">
        <v>0</v>
      </c>
    </row>
    <row r="32" spans="1:20" x14ac:dyDescent="0.3">
      <c r="A32" s="142" t="s">
        <v>262</v>
      </c>
      <c r="B32" s="136">
        <v>5130</v>
      </c>
      <c r="C32" s="136">
        <v>4</v>
      </c>
      <c r="D32" s="37">
        <v>779</v>
      </c>
      <c r="E32" s="285"/>
      <c r="F32" s="99"/>
      <c r="G32" s="142" t="s">
        <v>250</v>
      </c>
      <c r="H32" s="136">
        <v>4350</v>
      </c>
      <c r="I32" s="136">
        <v>4</v>
      </c>
      <c r="J32" s="37">
        <v>919</v>
      </c>
      <c r="K32" s="99"/>
      <c r="L32" s="142" t="s">
        <v>86</v>
      </c>
      <c r="M32" s="136">
        <v>1365</v>
      </c>
      <c r="N32" s="136">
        <v>0</v>
      </c>
      <c r="O32" s="37">
        <v>0</v>
      </c>
      <c r="P32" s="99"/>
      <c r="Q32" s="142" t="s">
        <v>278</v>
      </c>
      <c r="R32" s="136">
        <v>360</v>
      </c>
      <c r="S32" s="136">
        <v>0</v>
      </c>
      <c r="T32" s="37">
        <v>0</v>
      </c>
    </row>
    <row r="33" spans="1:20" x14ac:dyDescent="0.3">
      <c r="A33" s="142" t="s">
        <v>263</v>
      </c>
      <c r="B33" s="136">
        <v>3915</v>
      </c>
      <c r="C33" s="136">
        <v>3</v>
      </c>
      <c r="D33" s="37">
        <v>766</v>
      </c>
      <c r="E33" s="285"/>
      <c r="F33" s="99"/>
      <c r="G33" s="142" t="s">
        <v>251</v>
      </c>
      <c r="H33" s="136">
        <v>7635</v>
      </c>
      <c r="I33" s="136">
        <v>7</v>
      </c>
      <c r="J33" s="37">
        <v>916</v>
      </c>
      <c r="K33" s="99"/>
      <c r="L33" s="142" t="s">
        <v>104</v>
      </c>
      <c r="M33" s="136">
        <v>30</v>
      </c>
      <c r="N33" s="136">
        <v>0</v>
      </c>
      <c r="O33" s="37">
        <v>0</v>
      </c>
      <c r="P33" s="99"/>
      <c r="Q33" s="142" t="s">
        <v>121</v>
      </c>
      <c r="R33" s="136">
        <v>90</v>
      </c>
      <c r="S33" s="136">
        <v>0</v>
      </c>
      <c r="T33" s="37">
        <v>0</v>
      </c>
    </row>
    <row r="34" spans="1:20" x14ac:dyDescent="0.3">
      <c r="A34" s="142" t="s">
        <v>264</v>
      </c>
      <c r="B34" s="136">
        <v>5250</v>
      </c>
      <c r="C34" s="136">
        <v>4</v>
      </c>
      <c r="D34" s="37">
        <v>761</v>
      </c>
      <c r="E34" s="285"/>
      <c r="F34" s="99"/>
      <c r="G34" s="142" t="s">
        <v>252</v>
      </c>
      <c r="H34" s="136">
        <v>3286</v>
      </c>
      <c r="I34" s="136">
        <v>3</v>
      </c>
      <c r="J34" s="37">
        <v>912</v>
      </c>
      <c r="K34" s="99"/>
      <c r="L34" s="142" t="s">
        <v>346</v>
      </c>
      <c r="M34" s="136">
        <v>345</v>
      </c>
      <c r="N34" s="136">
        <v>0</v>
      </c>
      <c r="O34" s="37">
        <v>0</v>
      </c>
      <c r="P34" s="99"/>
      <c r="Q34" s="142" t="s">
        <v>235</v>
      </c>
      <c r="R34" s="136">
        <v>30</v>
      </c>
      <c r="S34" s="136">
        <v>0</v>
      </c>
      <c r="T34" s="37">
        <v>0</v>
      </c>
    </row>
    <row r="35" spans="1:20" x14ac:dyDescent="0.3">
      <c r="A35" s="142" t="s">
        <v>267</v>
      </c>
      <c r="B35" s="136">
        <v>1410</v>
      </c>
      <c r="C35" s="136">
        <v>1</v>
      </c>
      <c r="D35" s="37">
        <v>709</v>
      </c>
      <c r="E35" s="285"/>
      <c r="F35" s="99"/>
      <c r="G35" s="142" t="s">
        <v>138</v>
      </c>
      <c r="H35" s="136">
        <v>4470</v>
      </c>
      <c r="I35" s="136">
        <v>4</v>
      </c>
      <c r="J35" s="37">
        <v>894</v>
      </c>
      <c r="K35" s="99"/>
      <c r="L35" s="142" t="s">
        <v>294</v>
      </c>
      <c r="M35" s="136">
        <v>1830</v>
      </c>
      <c r="N35" s="136">
        <v>0</v>
      </c>
      <c r="O35" s="37">
        <v>0</v>
      </c>
      <c r="P35" s="99"/>
      <c r="Q35" s="142" t="s">
        <v>234</v>
      </c>
      <c r="R35" s="136">
        <v>240</v>
      </c>
      <c r="S35" s="136">
        <v>0</v>
      </c>
      <c r="T35" s="37">
        <v>0</v>
      </c>
    </row>
    <row r="36" spans="1:20" x14ac:dyDescent="0.3">
      <c r="A36" s="142" t="s">
        <v>272</v>
      </c>
      <c r="B36" s="136">
        <v>7800</v>
      </c>
      <c r="C36" s="136">
        <v>5</v>
      </c>
      <c r="D36" s="37">
        <v>641</v>
      </c>
      <c r="E36" s="285"/>
      <c r="F36" s="99"/>
      <c r="G36" s="142" t="s">
        <v>255</v>
      </c>
      <c r="H36" s="136">
        <v>9315</v>
      </c>
      <c r="I36" s="136">
        <v>8</v>
      </c>
      <c r="J36" s="37">
        <v>858</v>
      </c>
      <c r="K36" s="99"/>
      <c r="L36" s="142" t="s">
        <v>247</v>
      </c>
      <c r="M36" s="136">
        <v>3135</v>
      </c>
      <c r="N36" s="136">
        <v>0</v>
      </c>
      <c r="O36" s="37">
        <v>0</v>
      </c>
      <c r="P36" s="99"/>
      <c r="Q36" s="142" t="s">
        <v>226</v>
      </c>
      <c r="R36" s="136">
        <v>510</v>
      </c>
      <c r="S36" s="136">
        <v>0</v>
      </c>
      <c r="T36" s="37">
        <v>0</v>
      </c>
    </row>
    <row r="37" spans="1:20" x14ac:dyDescent="0.3">
      <c r="A37" s="142" t="s">
        <v>123</v>
      </c>
      <c r="B37" s="136">
        <v>1590</v>
      </c>
      <c r="C37" s="136">
        <v>1</v>
      </c>
      <c r="D37" s="37">
        <v>628</v>
      </c>
      <c r="E37" s="285"/>
      <c r="F37" s="99"/>
      <c r="G37" s="142" t="s">
        <v>257</v>
      </c>
      <c r="H37" s="136">
        <v>3660</v>
      </c>
      <c r="I37" s="136">
        <v>3</v>
      </c>
      <c r="J37" s="37">
        <v>819</v>
      </c>
      <c r="K37" s="99"/>
      <c r="L37" s="142" t="s">
        <v>362</v>
      </c>
      <c r="M37" s="136">
        <v>90</v>
      </c>
      <c r="N37" s="136">
        <v>0</v>
      </c>
      <c r="O37" s="37">
        <v>0</v>
      </c>
      <c r="P37" s="99"/>
      <c r="Q37" s="142" t="s">
        <v>136</v>
      </c>
      <c r="R37" s="136">
        <v>540</v>
      </c>
      <c r="S37" s="136">
        <v>0</v>
      </c>
      <c r="T37" s="37">
        <v>0</v>
      </c>
    </row>
    <row r="38" spans="1:20" x14ac:dyDescent="0.3">
      <c r="A38" s="142" t="s">
        <v>273</v>
      </c>
      <c r="B38" s="136">
        <v>3630</v>
      </c>
      <c r="C38" s="136">
        <v>2</v>
      </c>
      <c r="D38" s="37">
        <v>550</v>
      </c>
      <c r="E38" s="285"/>
      <c r="F38" s="99"/>
      <c r="G38" s="142" t="s">
        <v>259</v>
      </c>
      <c r="H38" s="136">
        <v>1245</v>
      </c>
      <c r="I38" s="136">
        <v>1</v>
      </c>
      <c r="J38" s="37">
        <v>803</v>
      </c>
      <c r="K38" s="99"/>
      <c r="L38" s="142" t="s">
        <v>261</v>
      </c>
      <c r="M38" s="136">
        <v>300</v>
      </c>
      <c r="N38" s="136">
        <v>0</v>
      </c>
      <c r="O38" s="37">
        <v>0</v>
      </c>
      <c r="P38" s="99"/>
      <c r="Q38" s="142" t="s">
        <v>113</v>
      </c>
      <c r="R38" s="136">
        <v>810</v>
      </c>
      <c r="S38" s="136">
        <v>0</v>
      </c>
      <c r="T38" s="37">
        <v>0</v>
      </c>
    </row>
    <row r="39" spans="1:20" x14ac:dyDescent="0.3">
      <c r="A39" s="142" t="s">
        <v>274</v>
      </c>
      <c r="B39" s="136">
        <v>7290</v>
      </c>
      <c r="C39" s="136">
        <v>4</v>
      </c>
      <c r="D39" s="37">
        <v>548</v>
      </c>
      <c r="E39" s="285"/>
      <c r="F39" s="99"/>
      <c r="G39" s="142" t="s">
        <v>265</v>
      </c>
      <c r="H39" s="136">
        <v>6990</v>
      </c>
      <c r="I39" s="136">
        <v>5</v>
      </c>
      <c r="J39" s="37">
        <v>715</v>
      </c>
      <c r="K39" s="99"/>
      <c r="L39" s="142" t="s">
        <v>334</v>
      </c>
      <c r="M39" s="136">
        <v>150</v>
      </c>
      <c r="N39" s="136">
        <v>0</v>
      </c>
      <c r="O39" s="37">
        <v>0</v>
      </c>
      <c r="P39" s="99"/>
      <c r="Q39" s="142" t="s">
        <v>105</v>
      </c>
      <c r="R39" s="136">
        <v>45</v>
      </c>
      <c r="S39" s="136">
        <v>0</v>
      </c>
      <c r="T39" s="37">
        <v>0</v>
      </c>
    </row>
    <row r="40" spans="1:20" x14ac:dyDescent="0.3">
      <c r="A40" s="142" t="s">
        <v>275</v>
      </c>
      <c r="B40" s="136">
        <v>12855</v>
      </c>
      <c r="C40" s="136">
        <v>7</v>
      </c>
      <c r="D40" s="37">
        <v>544</v>
      </c>
      <c r="E40" s="285"/>
      <c r="F40" s="99"/>
      <c r="G40" s="142" t="s">
        <v>266</v>
      </c>
      <c r="H40" s="136">
        <v>2805</v>
      </c>
      <c r="I40" s="136">
        <v>2</v>
      </c>
      <c r="J40" s="37">
        <v>713</v>
      </c>
      <c r="K40" s="99"/>
      <c r="L40" s="142" t="s">
        <v>249</v>
      </c>
      <c r="M40" s="136">
        <v>330</v>
      </c>
      <c r="N40" s="136">
        <v>0</v>
      </c>
      <c r="O40" s="37">
        <v>0</v>
      </c>
      <c r="P40" s="99"/>
      <c r="Q40" s="142" t="s">
        <v>320</v>
      </c>
      <c r="R40" s="136">
        <v>120</v>
      </c>
      <c r="S40" s="136">
        <v>0</v>
      </c>
      <c r="T40" s="37">
        <v>0</v>
      </c>
    </row>
    <row r="41" spans="1:20" x14ac:dyDescent="0.3">
      <c r="A41" s="287" t="s">
        <v>276</v>
      </c>
      <c r="B41" s="288">
        <v>18495</v>
      </c>
      <c r="C41" s="288">
        <v>10</v>
      </c>
      <c r="D41" s="289">
        <v>540</v>
      </c>
      <c r="E41" s="285"/>
      <c r="F41" s="99"/>
      <c r="G41" s="142" t="s">
        <v>268</v>
      </c>
      <c r="H41" s="136">
        <v>7350</v>
      </c>
      <c r="I41" s="136">
        <v>5</v>
      </c>
      <c r="J41" s="37">
        <v>680</v>
      </c>
      <c r="K41" s="99"/>
      <c r="L41" s="142" t="s">
        <v>279</v>
      </c>
      <c r="M41" s="136">
        <v>1740</v>
      </c>
      <c r="N41" s="136">
        <v>0</v>
      </c>
      <c r="O41" s="37">
        <v>0</v>
      </c>
      <c r="P41" s="99"/>
      <c r="Q41" s="142" t="s">
        <v>239</v>
      </c>
      <c r="R41" s="136">
        <v>240</v>
      </c>
      <c r="S41" s="136">
        <v>0</v>
      </c>
      <c r="T41" s="37">
        <v>0</v>
      </c>
    </row>
    <row r="42" spans="1:20" x14ac:dyDescent="0.3">
      <c r="A42" s="142" t="s">
        <v>277</v>
      </c>
      <c r="B42" s="136">
        <v>3705</v>
      </c>
      <c r="C42" s="136">
        <v>2</v>
      </c>
      <c r="D42" s="37">
        <v>539</v>
      </c>
      <c r="E42" s="285"/>
      <c r="F42" s="99"/>
      <c r="G42" s="142" t="s">
        <v>269</v>
      </c>
      <c r="H42" s="136">
        <v>11836</v>
      </c>
      <c r="I42" s="136">
        <v>8</v>
      </c>
      <c r="J42" s="37">
        <v>675</v>
      </c>
      <c r="K42" s="99"/>
      <c r="L42" s="142" t="s">
        <v>128</v>
      </c>
      <c r="M42" s="136">
        <v>390</v>
      </c>
      <c r="N42" s="136">
        <v>0</v>
      </c>
      <c r="O42" s="37">
        <v>0</v>
      </c>
      <c r="P42" s="99"/>
      <c r="Q42" s="142" t="s">
        <v>351</v>
      </c>
      <c r="R42" s="136">
        <v>420</v>
      </c>
      <c r="S42" s="136">
        <v>0</v>
      </c>
      <c r="T42" s="37">
        <v>0</v>
      </c>
    </row>
    <row r="43" spans="1:20" x14ac:dyDescent="0.3">
      <c r="A43" s="142" t="s">
        <v>279</v>
      </c>
      <c r="B43" s="136">
        <v>10230</v>
      </c>
      <c r="C43" s="136">
        <v>5</v>
      </c>
      <c r="D43" s="37">
        <v>488</v>
      </c>
      <c r="E43" s="285"/>
      <c r="F43" s="99"/>
      <c r="G43" s="142" t="s">
        <v>136</v>
      </c>
      <c r="H43" s="136">
        <v>12152</v>
      </c>
      <c r="I43" s="136">
        <v>8</v>
      </c>
      <c r="J43" s="37">
        <v>658</v>
      </c>
      <c r="K43" s="99"/>
      <c r="L43" s="142" t="s">
        <v>367</v>
      </c>
      <c r="M43" s="136">
        <v>1110</v>
      </c>
      <c r="N43" s="136">
        <v>0</v>
      </c>
      <c r="O43" s="37">
        <v>0</v>
      </c>
      <c r="P43" s="99"/>
      <c r="Q43" s="142" t="s">
        <v>248</v>
      </c>
      <c r="R43" s="136">
        <v>900</v>
      </c>
      <c r="S43" s="136">
        <v>0</v>
      </c>
      <c r="T43" s="37">
        <v>0</v>
      </c>
    </row>
    <row r="44" spans="1:20" x14ac:dyDescent="0.3">
      <c r="A44" s="142" t="s">
        <v>281</v>
      </c>
      <c r="B44" s="136">
        <v>4245</v>
      </c>
      <c r="C44" s="136">
        <v>2</v>
      </c>
      <c r="D44" s="37">
        <v>471</v>
      </c>
      <c r="E44" s="285"/>
      <c r="F44" s="99"/>
      <c r="G44" s="142" t="s">
        <v>270</v>
      </c>
      <c r="H44" s="136">
        <v>6182</v>
      </c>
      <c r="I44" s="136">
        <v>4</v>
      </c>
      <c r="J44" s="37">
        <v>647</v>
      </c>
      <c r="K44" s="99"/>
      <c r="L44" s="142" t="s">
        <v>306</v>
      </c>
      <c r="M44" s="136">
        <v>570</v>
      </c>
      <c r="N44" s="136">
        <v>0</v>
      </c>
      <c r="O44" s="37">
        <v>0</v>
      </c>
      <c r="P44" s="99"/>
      <c r="Q44" s="142" t="s">
        <v>231</v>
      </c>
      <c r="R44" s="136">
        <v>120</v>
      </c>
      <c r="S44" s="136">
        <v>0</v>
      </c>
      <c r="T44" s="37">
        <v>0</v>
      </c>
    </row>
    <row r="45" spans="1:20" x14ac:dyDescent="0.3">
      <c r="A45" s="135" t="s">
        <v>282</v>
      </c>
      <c r="B45" s="23">
        <v>12870</v>
      </c>
      <c r="C45" s="23">
        <v>6</v>
      </c>
      <c r="D45" s="160">
        <v>466</v>
      </c>
      <c r="E45" s="57"/>
      <c r="F45" s="99"/>
      <c r="G45" s="135" t="s">
        <v>271</v>
      </c>
      <c r="H45" s="23">
        <v>1545</v>
      </c>
      <c r="I45" s="23">
        <v>1</v>
      </c>
      <c r="J45" s="160">
        <v>647</v>
      </c>
      <c r="K45" s="99"/>
      <c r="L45" s="135" t="s">
        <v>240</v>
      </c>
      <c r="M45" s="23">
        <v>870</v>
      </c>
      <c r="N45" s="23">
        <v>0</v>
      </c>
      <c r="O45" s="160">
        <v>0</v>
      </c>
      <c r="P45" s="99"/>
      <c r="Q45" s="135" t="s">
        <v>374</v>
      </c>
      <c r="R45" s="23">
        <v>480</v>
      </c>
      <c r="S45" s="23">
        <v>0</v>
      </c>
      <c r="T45" s="160">
        <v>0</v>
      </c>
    </row>
    <row r="46" spans="1:20" x14ac:dyDescent="0.3">
      <c r="A46" s="135" t="s">
        <v>283</v>
      </c>
      <c r="B46" s="23">
        <v>2160</v>
      </c>
      <c r="C46" s="23">
        <v>1</v>
      </c>
      <c r="D46" s="160">
        <v>462</v>
      </c>
      <c r="E46" s="57"/>
      <c r="G46" s="135" t="s">
        <v>88</v>
      </c>
      <c r="H46" s="23">
        <v>1590</v>
      </c>
      <c r="I46" s="23">
        <v>1</v>
      </c>
      <c r="J46" s="160">
        <v>628</v>
      </c>
      <c r="L46" s="135" t="s">
        <v>258</v>
      </c>
      <c r="M46" s="23">
        <v>705</v>
      </c>
      <c r="N46" s="23">
        <v>0</v>
      </c>
      <c r="O46" s="160">
        <v>0</v>
      </c>
      <c r="Q46" s="135" t="s">
        <v>285</v>
      </c>
      <c r="R46" s="23">
        <v>660</v>
      </c>
      <c r="S46" s="23">
        <v>0</v>
      </c>
      <c r="T46" s="160">
        <v>0</v>
      </c>
    </row>
    <row r="47" spans="1:20" x14ac:dyDescent="0.3">
      <c r="A47" s="135" t="s">
        <v>284</v>
      </c>
      <c r="B47" s="23">
        <v>6750</v>
      </c>
      <c r="C47" s="23">
        <v>3</v>
      </c>
      <c r="D47" s="160">
        <v>444</v>
      </c>
      <c r="E47" s="57"/>
      <c r="G47" s="135" t="s">
        <v>113</v>
      </c>
      <c r="H47" s="23">
        <v>9900</v>
      </c>
      <c r="I47" s="23">
        <v>6</v>
      </c>
      <c r="J47" s="160">
        <v>606</v>
      </c>
      <c r="L47" s="135" t="s">
        <v>263</v>
      </c>
      <c r="M47" s="23">
        <v>90</v>
      </c>
      <c r="N47" s="23">
        <v>0</v>
      </c>
      <c r="O47" s="160">
        <v>0</v>
      </c>
      <c r="Q47" s="135" t="s">
        <v>295</v>
      </c>
      <c r="R47" s="23">
        <v>870</v>
      </c>
      <c r="S47" s="23">
        <v>0</v>
      </c>
      <c r="T47" s="160">
        <v>0</v>
      </c>
    </row>
    <row r="48" spans="1:20" x14ac:dyDescent="0.3">
      <c r="A48" s="135" t="s">
        <v>287</v>
      </c>
      <c r="B48" s="23">
        <v>2445</v>
      </c>
      <c r="C48" s="23">
        <v>1</v>
      </c>
      <c r="D48" s="160">
        <v>408</v>
      </c>
      <c r="E48" s="57"/>
      <c r="G48" s="135" t="s">
        <v>278</v>
      </c>
      <c r="H48" s="23">
        <v>7680</v>
      </c>
      <c r="I48" s="23">
        <v>4</v>
      </c>
      <c r="J48" s="160">
        <v>520</v>
      </c>
      <c r="L48" s="135" t="s">
        <v>218</v>
      </c>
      <c r="M48" s="23">
        <v>1020</v>
      </c>
      <c r="N48" s="23">
        <v>0</v>
      </c>
      <c r="O48" s="160">
        <v>0</v>
      </c>
      <c r="Q48" s="135" t="s">
        <v>99</v>
      </c>
      <c r="R48" s="23">
        <v>30</v>
      </c>
      <c r="S48" s="23">
        <v>0</v>
      </c>
      <c r="T48" s="160">
        <v>0</v>
      </c>
    </row>
    <row r="49" spans="1:20" x14ac:dyDescent="0.3">
      <c r="A49" s="135" t="s">
        <v>290</v>
      </c>
      <c r="B49" s="23">
        <v>2610</v>
      </c>
      <c r="C49" s="23">
        <v>1</v>
      </c>
      <c r="D49" s="160">
        <v>383</v>
      </c>
      <c r="E49" s="57"/>
      <c r="G49" s="135" t="s">
        <v>280</v>
      </c>
      <c r="H49" s="23">
        <v>6181</v>
      </c>
      <c r="I49" s="23">
        <v>3</v>
      </c>
      <c r="J49" s="160">
        <v>485</v>
      </c>
      <c r="L49" s="135" t="s">
        <v>274</v>
      </c>
      <c r="M49" s="23">
        <v>720</v>
      </c>
      <c r="N49" s="23">
        <v>0</v>
      </c>
      <c r="O49" s="160">
        <v>0</v>
      </c>
      <c r="Q49" s="135" t="s">
        <v>292</v>
      </c>
      <c r="R49" s="23">
        <v>105</v>
      </c>
      <c r="S49" s="23">
        <v>0</v>
      </c>
      <c r="T49" s="160">
        <v>0</v>
      </c>
    </row>
    <row r="50" spans="1:20" x14ac:dyDescent="0.3">
      <c r="A50" s="135" t="s">
        <v>291</v>
      </c>
      <c r="B50" s="23">
        <v>10515</v>
      </c>
      <c r="C50" s="23">
        <v>4</v>
      </c>
      <c r="D50" s="160">
        <v>380</v>
      </c>
      <c r="E50" s="57"/>
      <c r="G50" s="135" t="s">
        <v>114</v>
      </c>
      <c r="H50" s="23">
        <v>6825</v>
      </c>
      <c r="I50" s="23">
        <v>3</v>
      </c>
      <c r="J50" s="160">
        <v>439</v>
      </c>
      <c r="L50" s="135" t="s">
        <v>275</v>
      </c>
      <c r="M50" s="23">
        <v>645</v>
      </c>
      <c r="N50" s="23">
        <v>0</v>
      </c>
      <c r="O50" s="160">
        <v>0</v>
      </c>
      <c r="Q50" s="135" t="s">
        <v>145</v>
      </c>
      <c r="R50" s="23">
        <v>30</v>
      </c>
      <c r="S50" s="23">
        <v>0</v>
      </c>
      <c r="T50" s="160">
        <v>0</v>
      </c>
    </row>
    <row r="51" spans="1:20" x14ac:dyDescent="0.3">
      <c r="A51" s="135" t="s">
        <v>294</v>
      </c>
      <c r="B51" s="23">
        <v>13740</v>
      </c>
      <c r="C51" s="23">
        <v>5</v>
      </c>
      <c r="D51" s="160">
        <v>363</v>
      </c>
      <c r="E51" s="57"/>
      <c r="G51" s="135" t="s">
        <v>285</v>
      </c>
      <c r="H51" s="23">
        <v>4800</v>
      </c>
      <c r="I51" s="23">
        <v>2</v>
      </c>
      <c r="J51" s="160">
        <v>416</v>
      </c>
      <c r="L51" s="135" t="s">
        <v>329</v>
      </c>
      <c r="M51" s="23">
        <v>300</v>
      </c>
      <c r="N51" s="23">
        <v>0</v>
      </c>
      <c r="O51" s="160">
        <v>0</v>
      </c>
      <c r="Q51" s="135" t="s">
        <v>87</v>
      </c>
      <c r="R51" s="23">
        <v>225</v>
      </c>
      <c r="S51" s="23">
        <v>0</v>
      </c>
      <c r="T51" s="160">
        <v>0</v>
      </c>
    </row>
    <row r="52" spans="1:20" x14ac:dyDescent="0.3">
      <c r="A52" s="135" t="s">
        <v>298</v>
      </c>
      <c r="B52" s="23">
        <v>3300</v>
      </c>
      <c r="C52" s="23">
        <v>1</v>
      </c>
      <c r="D52" s="160">
        <v>303</v>
      </c>
      <c r="E52" s="57"/>
      <c r="G52" s="135" t="s">
        <v>286</v>
      </c>
      <c r="H52" s="23">
        <v>9735</v>
      </c>
      <c r="I52" s="23">
        <v>4</v>
      </c>
      <c r="J52" s="160">
        <v>410</v>
      </c>
      <c r="L52" s="135" t="s">
        <v>273</v>
      </c>
      <c r="M52" s="23">
        <v>510</v>
      </c>
      <c r="N52" s="23">
        <v>0</v>
      </c>
      <c r="O52" s="160">
        <v>0</v>
      </c>
      <c r="Q52" s="135" t="s">
        <v>230</v>
      </c>
      <c r="R52" s="23">
        <v>180</v>
      </c>
      <c r="S52" s="23">
        <v>0</v>
      </c>
      <c r="T52" s="160">
        <v>0</v>
      </c>
    </row>
    <row r="53" spans="1:20" x14ac:dyDescent="0.3">
      <c r="A53" s="135" t="s">
        <v>301</v>
      </c>
      <c r="B53" s="23">
        <v>7380</v>
      </c>
      <c r="C53" s="23">
        <v>2</v>
      </c>
      <c r="D53" s="160">
        <v>271</v>
      </c>
      <c r="E53" s="57"/>
      <c r="G53" s="135" t="s">
        <v>288</v>
      </c>
      <c r="H53" s="23">
        <v>4890</v>
      </c>
      <c r="I53" s="23">
        <v>2</v>
      </c>
      <c r="J53" s="160">
        <v>408</v>
      </c>
      <c r="L53" s="135" t="s">
        <v>302</v>
      </c>
      <c r="M53" s="23">
        <v>270</v>
      </c>
      <c r="N53" s="23">
        <v>0</v>
      </c>
      <c r="O53" s="160">
        <v>0</v>
      </c>
      <c r="Q53" s="135" t="s">
        <v>322</v>
      </c>
      <c r="R53" s="23">
        <v>1140</v>
      </c>
      <c r="S53" s="23">
        <v>0</v>
      </c>
      <c r="T53" s="160">
        <v>0</v>
      </c>
    </row>
    <row r="54" spans="1:20" x14ac:dyDescent="0.3">
      <c r="A54" s="135" t="s">
        <v>302</v>
      </c>
      <c r="B54" s="23">
        <v>3855</v>
      </c>
      <c r="C54" s="23">
        <v>1</v>
      </c>
      <c r="D54" s="160">
        <v>259</v>
      </c>
      <c r="E54" s="57"/>
      <c r="G54" s="135" t="s">
        <v>143</v>
      </c>
      <c r="H54" s="23">
        <v>2550</v>
      </c>
      <c r="I54" s="23">
        <v>1</v>
      </c>
      <c r="J54" s="160">
        <v>392</v>
      </c>
      <c r="L54" s="135" t="s">
        <v>309</v>
      </c>
      <c r="M54" s="23">
        <v>450</v>
      </c>
      <c r="N54" s="23">
        <v>0</v>
      </c>
      <c r="O54" s="160">
        <v>0</v>
      </c>
      <c r="Q54" s="135" t="s">
        <v>238</v>
      </c>
      <c r="R54" s="23">
        <v>420</v>
      </c>
      <c r="S54" s="23">
        <v>0</v>
      </c>
      <c r="T54" s="160">
        <v>0</v>
      </c>
    </row>
    <row r="55" spans="1:20" x14ac:dyDescent="0.3">
      <c r="A55" s="135" t="s">
        <v>304</v>
      </c>
      <c r="B55" s="23">
        <v>5235</v>
      </c>
      <c r="C55" s="23">
        <v>1</v>
      </c>
      <c r="D55" s="160">
        <v>191</v>
      </c>
      <c r="E55" s="57"/>
      <c r="G55" s="135" t="s">
        <v>289</v>
      </c>
      <c r="H55" s="23">
        <v>5205</v>
      </c>
      <c r="I55" s="23">
        <v>2</v>
      </c>
      <c r="J55" s="160">
        <v>384</v>
      </c>
      <c r="L55" s="135" t="s">
        <v>85</v>
      </c>
      <c r="M55" s="23">
        <v>30</v>
      </c>
      <c r="N55" s="23">
        <v>0</v>
      </c>
      <c r="O55" s="160">
        <v>0</v>
      </c>
      <c r="Q55" s="135" t="s">
        <v>296</v>
      </c>
      <c r="R55" s="23">
        <v>540</v>
      </c>
      <c r="S55" s="23">
        <v>0</v>
      </c>
      <c r="T55" s="160">
        <v>0</v>
      </c>
    </row>
    <row r="56" spans="1:20" x14ac:dyDescent="0.3">
      <c r="A56" s="135" t="s">
        <v>306</v>
      </c>
      <c r="B56" s="23">
        <v>7290</v>
      </c>
      <c r="C56" s="23">
        <v>1</v>
      </c>
      <c r="D56" s="160">
        <v>137</v>
      </c>
      <c r="E56" s="57"/>
      <c r="G56" s="135" t="s">
        <v>292</v>
      </c>
      <c r="H56" s="23">
        <v>2715</v>
      </c>
      <c r="I56" s="23">
        <v>1</v>
      </c>
      <c r="J56" s="160">
        <v>368</v>
      </c>
      <c r="L56" s="135" t="s">
        <v>318</v>
      </c>
      <c r="M56" s="23">
        <v>240</v>
      </c>
      <c r="N56" s="23">
        <v>0</v>
      </c>
      <c r="O56" s="160">
        <v>0</v>
      </c>
      <c r="Q56" s="135" t="s">
        <v>241</v>
      </c>
      <c r="R56" s="23">
        <v>600</v>
      </c>
      <c r="S56" s="23">
        <v>0</v>
      </c>
      <c r="T56" s="160">
        <v>0</v>
      </c>
    </row>
    <row r="57" spans="1:20" x14ac:dyDescent="0.3">
      <c r="A57" s="135" t="s">
        <v>308</v>
      </c>
      <c r="B57" s="23">
        <v>9060</v>
      </c>
      <c r="C57" s="23">
        <v>1</v>
      </c>
      <c r="D57" s="160">
        <v>110</v>
      </c>
      <c r="E57" s="57"/>
      <c r="G57" s="135" t="s">
        <v>293</v>
      </c>
      <c r="H57" s="23">
        <v>2730</v>
      </c>
      <c r="I57" s="23">
        <v>1</v>
      </c>
      <c r="J57" s="160">
        <v>366</v>
      </c>
      <c r="L57" s="135" t="s">
        <v>342</v>
      </c>
      <c r="M57" s="23">
        <v>90</v>
      </c>
      <c r="N57" s="23">
        <v>0</v>
      </c>
      <c r="O57" s="160">
        <v>0</v>
      </c>
      <c r="Q57" s="135" t="s">
        <v>139</v>
      </c>
      <c r="R57" s="23">
        <v>180</v>
      </c>
      <c r="S57" s="23">
        <v>0</v>
      </c>
      <c r="T57" s="160">
        <v>0</v>
      </c>
    </row>
    <row r="58" spans="1:20" x14ac:dyDescent="0.3">
      <c r="A58" s="135" t="s">
        <v>309</v>
      </c>
      <c r="B58" s="23">
        <v>14565</v>
      </c>
      <c r="C58" s="23">
        <v>1</v>
      </c>
      <c r="D58" s="160">
        <v>68</v>
      </c>
      <c r="E58" s="57"/>
      <c r="G58" s="135" t="s">
        <v>295</v>
      </c>
      <c r="H58" s="23">
        <v>19815</v>
      </c>
      <c r="I58" s="23">
        <v>7</v>
      </c>
      <c r="J58" s="160">
        <v>353</v>
      </c>
      <c r="L58" s="135" t="s">
        <v>323</v>
      </c>
      <c r="M58" s="23">
        <v>600</v>
      </c>
      <c r="N58" s="23">
        <v>0</v>
      </c>
      <c r="O58" s="160">
        <v>0</v>
      </c>
      <c r="Q58" s="135" t="s">
        <v>293</v>
      </c>
      <c r="R58" s="23">
        <v>810</v>
      </c>
      <c r="S58" s="23">
        <v>0</v>
      </c>
      <c r="T58" s="160">
        <v>0</v>
      </c>
    </row>
    <row r="59" spans="1:20" x14ac:dyDescent="0.3">
      <c r="A59" s="135" t="s">
        <v>89</v>
      </c>
      <c r="B59" s="23">
        <v>300</v>
      </c>
      <c r="C59" s="23">
        <v>0</v>
      </c>
      <c r="D59" s="160">
        <v>0</v>
      </c>
      <c r="E59" s="57"/>
      <c r="G59" s="135" t="s">
        <v>296</v>
      </c>
      <c r="H59" s="23">
        <v>3030</v>
      </c>
      <c r="I59" s="23">
        <v>1</v>
      </c>
      <c r="J59" s="160">
        <v>330</v>
      </c>
      <c r="L59" s="135" t="s">
        <v>311</v>
      </c>
      <c r="M59" s="23">
        <v>30</v>
      </c>
      <c r="N59" s="23">
        <v>0</v>
      </c>
      <c r="O59" s="160">
        <v>0</v>
      </c>
      <c r="Q59" s="135" t="s">
        <v>100</v>
      </c>
      <c r="R59" s="23">
        <v>210</v>
      </c>
      <c r="S59" s="23">
        <v>0</v>
      </c>
      <c r="T59" s="160">
        <v>0</v>
      </c>
    </row>
    <row r="60" spans="1:20" x14ac:dyDescent="0.3">
      <c r="A60" s="135" t="s">
        <v>97</v>
      </c>
      <c r="B60" s="23">
        <v>60</v>
      </c>
      <c r="C60" s="23">
        <v>0</v>
      </c>
      <c r="D60" s="160">
        <v>0</v>
      </c>
      <c r="E60" s="57"/>
      <c r="G60" s="135" t="s">
        <v>297</v>
      </c>
      <c r="H60" s="23">
        <v>3090</v>
      </c>
      <c r="I60" s="23">
        <v>1</v>
      </c>
      <c r="J60" s="160">
        <v>323</v>
      </c>
      <c r="L60" s="135" t="s">
        <v>237</v>
      </c>
      <c r="M60" s="23">
        <v>60</v>
      </c>
      <c r="N60" s="23">
        <v>0</v>
      </c>
      <c r="O60" s="160">
        <v>0</v>
      </c>
      <c r="Q60" s="135" t="s">
        <v>349</v>
      </c>
      <c r="R60" s="23">
        <v>120</v>
      </c>
      <c r="S60" s="23">
        <v>0</v>
      </c>
      <c r="T60" s="160">
        <v>0</v>
      </c>
    </row>
    <row r="61" spans="1:20" x14ac:dyDescent="0.3">
      <c r="A61" s="135" t="s">
        <v>311</v>
      </c>
      <c r="B61" s="23">
        <v>135</v>
      </c>
      <c r="C61" s="23">
        <v>0</v>
      </c>
      <c r="D61" s="160">
        <v>0</v>
      </c>
      <c r="E61" s="57"/>
      <c r="G61" s="135" t="s">
        <v>299</v>
      </c>
      <c r="H61" s="23">
        <v>9900</v>
      </c>
      <c r="I61" s="23">
        <v>3</v>
      </c>
      <c r="J61" s="160">
        <v>303</v>
      </c>
      <c r="L61" s="135" t="s">
        <v>277</v>
      </c>
      <c r="M61" s="23">
        <v>585</v>
      </c>
      <c r="N61" s="23">
        <v>0</v>
      </c>
      <c r="O61" s="160">
        <v>0</v>
      </c>
      <c r="Q61" s="135" t="s">
        <v>111</v>
      </c>
      <c r="R61" s="23">
        <v>1230</v>
      </c>
      <c r="S61" s="23">
        <v>0</v>
      </c>
      <c r="T61" s="160">
        <v>0</v>
      </c>
    </row>
    <row r="62" spans="1:20" x14ac:dyDescent="0.3">
      <c r="A62" s="135" t="s">
        <v>313</v>
      </c>
      <c r="B62" s="23">
        <v>30</v>
      </c>
      <c r="C62" s="23">
        <v>0</v>
      </c>
      <c r="D62" s="160">
        <v>0</v>
      </c>
      <c r="E62" s="57"/>
      <c r="G62" s="135" t="s">
        <v>300</v>
      </c>
      <c r="H62" s="23">
        <v>3510</v>
      </c>
      <c r="I62" s="23">
        <v>1</v>
      </c>
      <c r="J62" s="160">
        <v>284</v>
      </c>
      <c r="L62" s="135" t="s">
        <v>281</v>
      </c>
      <c r="M62" s="23">
        <v>120</v>
      </c>
      <c r="N62" s="23">
        <v>0</v>
      </c>
      <c r="O62" s="160">
        <v>0</v>
      </c>
      <c r="Q62" s="135" t="s">
        <v>310</v>
      </c>
      <c r="R62" s="23">
        <v>630</v>
      </c>
      <c r="S62" s="23">
        <v>0</v>
      </c>
      <c r="T62" s="160">
        <v>0</v>
      </c>
    </row>
    <row r="63" spans="1:20" x14ac:dyDescent="0.3">
      <c r="A63" s="135" t="s">
        <v>106</v>
      </c>
      <c r="B63" s="23">
        <v>330</v>
      </c>
      <c r="C63" s="23">
        <v>0</v>
      </c>
      <c r="D63" s="160">
        <v>0</v>
      </c>
      <c r="E63" s="57"/>
      <c r="G63" s="135" t="s">
        <v>145</v>
      </c>
      <c r="H63" s="23">
        <v>3930</v>
      </c>
      <c r="I63" s="23">
        <v>1</v>
      </c>
      <c r="J63" s="160">
        <v>254</v>
      </c>
      <c r="L63" s="135" t="s">
        <v>223</v>
      </c>
      <c r="M63" s="23">
        <v>795</v>
      </c>
      <c r="N63" s="23">
        <v>0</v>
      </c>
      <c r="O63" s="160">
        <v>0</v>
      </c>
      <c r="Q63" s="135" t="s">
        <v>366</v>
      </c>
      <c r="R63" s="23">
        <v>210</v>
      </c>
      <c r="S63" s="23">
        <v>0</v>
      </c>
      <c r="T63" s="160">
        <v>0</v>
      </c>
    </row>
    <row r="64" spans="1:20" x14ac:dyDescent="0.3">
      <c r="A64" s="135" t="s">
        <v>258</v>
      </c>
      <c r="B64" s="23">
        <v>390</v>
      </c>
      <c r="C64" s="23">
        <v>0</v>
      </c>
      <c r="D64" s="160">
        <v>0</v>
      </c>
      <c r="E64" s="57"/>
      <c r="G64" s="135" t="s">
        <v>95</v>
      </c>
      <c r="H64" s="23">
        <v>4875</v>
      </c>
      <c r="I64" s="23">
        <v>1</v>
      </c>
      <c r="J64" s="160">
        <v>205</v>
      </c>
      <c r="L64" s="135" t="s">
        <v>353</v>
      </c>
      <c r="M64" s="23">
        <v>30</v>
      </c>
      <c r="N64" s="23">
        <v>0</v>
      </c>
      <c r="O64" s="160">
        <v>0</v>
      </c>
      <c r="Q64" s="135" t="s">
        <v>345</v>
      </c>
      <c r="R64" s="23">
        <v>60</v>
      </c>
      <c r="S64" s="23">
        <v>0</v>
      </c>
      <c r="T64" s="160">
        <v>0</v>
      </c>
    </row>
    <row r="65" spans="1:20" x14ac:dyDescent="0.3">
      <c r="A65" s="135" t="s">
        <v>318</v>
      </c>
      <c r="B65" s="23">
        <v>2610</v>
      </c>
      <c r="C65" s="23">
        <v>0</v>
      </c>
      <c r="D65" s="160">
        <v>0</v>
      </c>
      <c r="E65" s="57"/>
      <c r="G65" s="135" t="s">
        <v>303</v>
      </c>
      <c r="H65" s="23">
        <v>4920</v>
      </c>
      <c r="I65" s="23">
        <v>1</v>
      </c>
      <c r="J65" s="160">
        <v>203</v>
      </c>
      <c r="L65" s="135" t="s">
        <v>308</v>
      </c>
      <c r="M65" s="23">
        <v>1290</v>
      </c>
      <c r="N65" s="23">
        <v>0</v>
      </c>
      <c r="O65" s="160">
        <v>0</v>
      </c>
      <c r="Q65" s="135" t="s">
        <v>328</v>
      </c>
      <c r="R65" s="23">
        <v>1620</v>
      </c>
      <c r="S65" s="23">
        <v>0</v>
      </c>
      <c r="T65" s="160">
        <v>0</v>
      </c>
    </row>
    <row r="66" spans="1:20" x14ac:dyDescent="0.3">
      <c r="A66" s="135" t="s">
        <v>142</v>
      </c>
      <c r="B66" s="23">
        <v>30</v>
      </c>
      <c r="C66" s="23">
        <v>0</v>
      </c>
      <c r="D66" s="160">
        <v>0</v>
      </c>
      <c r="E66" s="57"/>
      <c r="G66" s="135" t="s">
        <v>305</v>
      </c>
      <c r="H66" s="23">
        <v>6330</v>
      </c>
      <c r="I66" s="23">
        <v>1</v>
      </c>
      <c r="J66" s="160">
        <v>157</v>
      </c>
      <c r="L66" s="135" t="s">
        <v>272</v>
      </c>
      <c r="M66" s="23">
        <v>90</v>
      </c>
      <c r="N66" s="23">
        <v>0</v>
      </c>
      <c r="O66" s="160">
        <v>0</v>
      </c>
      <c r="Q66" s="135" t="s">
        <v>250</v>
      </c>
      <c r="R66" s="23">
        <v>720</v>
      </c>
      <c r="S66" s="23">
        <v>0</v>
      </c>
      <c r="T66" s="160">
        <v>0</v>
      </c>
    </row>
    <row r="67" spans="1:20" x14ac:dyDescent="0.3">
      <c r="A67" s="135" t="s">
        <v>323</v>
      </c>
      <c r="B67" s="23">
        <v>4500</v>
      </c>
      <c r="C67" s="23">
        <v>0</v>
      </c>
      <c r="D67" s="160">
        <v>0</v>
      </c>
      <c r="E67" s="57"/>
      <c r="G67" s="135" t="s">
        <v>307</v>
      </c>
      <c r="H67" s="23">
        <v>8850</v>
      </c>
      <c r="I67" s="23">
        <v>1</v>
      </c>
      <c r="J67" s="160">
        <v>112</v>
      </c>
      <c r="L67" s="135" t="s">
        <v>220</v>
      </c>
      <c r="M67" s="23">
        <v>540</v>
      </c>
      <c r="N67" s="23">
        <v>0</v>
      </c>
      <c r="O67" s="160">
        <v>0</v>
      </c>
      <c r="Q67" s="135" t="s">
        <v>297</v>
      </c>
      <c r="R67" s="23">
        <v>180</v>
      </c>
      <c r="S67" s="23">
        <v>0</v>
      </c>
      <c r="T67" s="160">
        <v>0</v>
      </c>
    </row>
    <row r="68" spans="1:20" x14ac:dyDescent="0.3">
      <c r="A68" s="135" t="s">
        <v>324</v>
      </c>
      <c r="B68" s="23">
        <v>210</v>
      </c>
      <c r="C68" s="23">
        <v>0</v>
      </c>
      <c r="D68" s="160">
        <v>0</v>
      </c>
      <c r="E68" s="57"/>
      <c r="G68" s="135" t="s">
        <v>134</v>
      </c>
      <c r="H68" s="23">
        <v>13800</v>
      </c>
      <c r="I68" s="23">
        <v>0</v>
      </c>
      <c r="J68" s="160">
        <v>0</v>
      </c>
      <c r="L68" s="135" t="s">
        <v>130</v>
      </c>
      <c r="M68" s="23">
        <v>30</v>
      </c>
      <c r="N68" s="23">
        <v>0</v>
      </c>
      <c r="O68" s="160">
        <v>0</v>
      </c>
      <c r="Q68" s="135" t="s">
        <v>271</v>
      </c>
      <c r="R68" s="23">
        <v>120</v>
      </c>
      <c r="S68" s="23">
        <v>0</v>
      </c>
      <c r="T68" s="160">
        <v>0</v>
      </c>
    </row>
    <row r="69" spans="1:20" x14ac:dyDescent="0.3">
      <c r="A69" s="135" t="s">
        <v>326</v>
      </c>
      <c r="B69" s="23">
        <v>30</v>
      </c>
      <c r="C69" s="23">
        <v>0</v>
      </c>
      <c r="D69" s="160">
        <v>0</v>
      </c>
      <c r="E69" s="57"/>
      <c r="G69" s="135" t="s">
        <v>310</v>
      </c>
      <c r="H69" s="23">
        <v>2730</v>
      </c>
      <c r="I69" s="23">
        <v>0</v>
      </c>
      <c r="J69" s="160">
        <v>0</v>
      </c>
      <c r="L69" s="135"/>
      <c r="M69" s="23"/>
      <c r="N69" s="23"/>
      <c r="O69" s="160"/>
      <c r="Q69" s="135" t="s">
        <v>359</v>
      </c>
      <c r="R69" s="23">
        <v>210</v>
      </c>
      <c r="S69" s="23">
        <v>0</v>
      </c>
      <c r="T69" s="160">
        <v>0</v>
      </c>
    </row>
    <row r="70" spans="1:20" x14ac:dyDescent="0.3">
      <c r="A70" s="135" t="s">
        <v>117</v>
      </c>
      <c r="B70" s="23">
        <v>150</v>
      </c>
      <c r="C70" s="23">
        <v>0</v>
      </c>
      <c r="D70" s="160">
        <v>0</v>
      </c>
      <c r="E70" s="57"/>
      <c r="G70" s="135" t="s">
        <v>98</v>
      </c>
      <c r="H70" s="23">
        <v>60</v>
      </c>
      <c r="I70" s="23">
        <v>0</v>
      </c>
      <c r="J70" s="160">
        <v>0</v>
      </c>
      <c r="L70" s="135"/>
      <c r="M70" s="23"/>
      <c r="N70" s="23"/>
      <c r="O70" s="160"/>
      <c r="Q70" s="135" t="s">
        <v>270</v>
      </c>
      <c r="R70" s="23">
        <v>870</v>
      </c>
      <c r="S70" s="23">
        <v>0</v>
      </c>
      <c r="T70" s="160">
        <v>0</v>
      </c>
    </row>
    <row r="71" spans="1:20" x14ac:dyDescent="0.3">
      <c r="A71" s="135" t="s">
        <v>329</v>
      </c>
      <c r="B71" s="23">
        <v>2535</v>
      </c>
      <c r="C71" s="23">
        <v>0</v>
      </c>
      <c r="D71" s="160">
        <v>0</v>
      </c>
      <c r="E71" s="57"/>
      <c r="G71" s="135" t="s">
        <v>312</v>
      </c>
      <c r="H71" s="23">
        <v>90</v>
      </c>
      <c r="I71" s="23">
        <v>0</v>
      </c>
      <c r="J71" s="160">
        <v>0</v>
      </c>
      <c r="L71" s="135"/>
      <c r="M71" s="23"/>
      <c r="N71" s="23"/>
      <c r="O71" s="160"/>
      <c r="Q71" s="135" t="s">
        <v>138</v>
      </c>
      <c r="R71" s="23">
        <v>240</v>
      </c>
      <c r="S71" s="23">
        <v>0</v>
      </c>
      <c r="T71" s="160">
        <v>0</v>
      </c>
    </row>
    <row r="72" spans="1:20" x14ac:dyDescent="0.3">
      <c r="A72" s="135" t="s">
        <v>331</v>
      </c>
      <c r="B72" s="23">
        <v>240</v>
      </c>
      <c r="C72" s="23">
        <v>0</v>
      </c>
      <c r="D72" s="160">
        <v>0</v>
      </c>
      <c r="E72" s="57"/>
      <c r="G72" s="135" t="s">
        <v>314</v>
      </c>
      <c r="H72" s="23">
        <v>30</v>
      </c>
      <c r="I72" s="23">
        <v>0</v>
      </c>
      <c r="J72" s="160">
        <v>0</v>
      </c>
      <c r="L72" s="135"/>
      <c r="M72" s="23"/>
      <c r="N72" s="23"/>
      <c r="O72" s="160"/>
      <c r="Q72" s="135" t="s">
        <v>217</v>
      </c>
      <c r="R72" s="23">
        <v>600</v>
      </c>
      <c r="S72" s="23">
        <v>0</v>
      </c>
      <c r="T72" s="160">
        <v>0</v>
      </c>
    </row>
    <row r="73" spans="1:20" x14ac:dyDescent="0.3">
      <c r="A73" s="135" t="s">
        <v>334</v>
      </c>
      <c r="B73" s="23">
        <v>4020</v>
      </c>
      <c r="C73" s="23">
        <v>0</v>
      </c>
      <c r="D73" s="160">
        <v>0</v>
      </c>
      <c r="E73" s="57"/>
      <c r="G73" s="135" t="s">
        <v>315</v>
      </c>
      <c r="H73" s="23">
        <v>675</v>
      </c>
      <c r="I73" s="23">
        <v>0</v>
      </c>
      <c r="J73" s="160">
        <v>0</v>
      </c>
      <c r="L73" s="135"/>
      <c r="M73" s="23"/>
      <c r="N73" s="23"/>
      <c r="O73" s="160"/>
      <c r="Q73" s="135" t="s">
        <v>375</v>
      </c>
      <c r="R73" s="23">
        <v>60</v>
      </c>
      <c r="S73" s="23">
        <v>0</v>
      </c>
      <c r="T73" s="160">
        <v>0</v>
      </c>
    </row>
    <row r="74" spans="1:20" x14ac:dyDescent="0.3">
      <c r="A74" s="135" t="s">
        <v>137</v>
      </c>
      <c r="B74" s="23">
        <v>600</v>
      </c>
      <c r="C74" s="23">
        <v>0</v>
      </c>
      <c r="D74" s="160">
        <v>0</v>
      </c>
      <c r="E74" s="57"/>
      <c r="G74" s="135" t="s">
        <v>316</v>
      </c>
      <c r="H74" s="23">
        <v>2340</v>
      </c>
      <c r="I74" s="23">
        <v>0</v>
      </c>
      <c r="J74" s="160">
        <v>0</v>
      </c>
      <c r="L74" s="135"/>
      <c r="M74" s="23"/>
      <c r="N74" s="23"/>
      <c r="O74" s="160"/>
      <c r="Q74" s="135" t="s">
        <v>81</v>
      </c>
      <c r="R74" s="23">
        <v>1410</v>
      </c>
      <c r="S74" s="23">
        <v>0</v>
      </c>
      <c r="T74" s="160">
        <v>0</v>
      </c>
    </row>
    <row r="75" spans="1:20" x14ac:dyDescent="0.3">
      <c r="A75" s="135" t="s">
        <v>336</v>
      </c>
      <c r="B75" s="23">
        <v>60</v>
      </c>
      <c r="C75" s="23">
        <v>0</v>
      </c>
      <c r="D75" s="160">
        <v>0</v>
      </c>
      <c r="E75" s="57"/>
      <c r="G75" s="135" t="s">
        <v>317</v>
      </c>
      <c r="H75" s="23">
        <v>1140</v>
      </c>
      <c r="I75" s="23">
        <v>0</v>
      </c>
      <c r="J75" s="160">
        <v>0</v>
      </c>
      <c r="L75" s="135"/>
      <c r="M75" s="23"/>
      <c r="N75" s="23"/>
      <c r="O75" s="160"/>
      <c r="Q75" s="135" t="s">
        <v>134</v>
      </c>
      <c r="R75" s="23">
        <v>210</v>
      </c>
      <c r="S75" s="23">
        <v>0</v>
      </c>
      <c r="T75" s="160">
        <v>0</v>
      </c>
    </row>
    <row r="76" spans="1:20" x14ac:dyDescent="0.3">
      <c r="A76" s="135" t="s">
        <v>122</v>
      </c>
      <c r="B76" s="23">
        <v>90</v>
      </c>
      <c r="C76" s="23">
        <v>0</v>
      </c>
      <c r="D76" s="160">
        <v>0</v>
      </c>
      <c r="E76" s="57"/>
      <c r="G76" s="135" t="s">
        <v>147</v>
      </c>
      <c r="H76" s="23">
        <v>420</v>
      </c>
      <c r="I76" s="23">
        <v>0</v>
      </c>
      <c r="J76" s="160">
        <v>0</v>
      </c>
      <c r="L76" s="135"/>
      <c r="M76" s="23"/>
      <c r="N76" s="23"/>
      <c r="O76" s="160"/>
      <c r="Q76" s="135" t="s">
        <v>332</v>
      </c>
      <c r="R76" s="23">
        <v>210</v>
      </c>
      <c r="S76" s="23">
        <v>0</v>
      </c>
      <c r="T76" s="160">
        <v>0</v>
      </c>
    </row>
    <row r="77" spans="1:20" x14ac:dyDescent="0.3">
      <c r="A77" s="135" t="s">
        <v>338</v>
      </c>
      <c r="B77" s="23">
        <v>1620</v>
      </c>
      <c r="C77" s="23">
        <v>0</v>
      </c>
      <c r="D77" s="160">
        <v>0</v>
      </c>
      <c r="E77" s="57"/>
      <c r="G77" s="135" t="s">
        <v>319</v>
      </c>
      <c r="H77" s="23">
        <v>180</v>
      </c>
      <c r="I77" s="23">
        <v>0</v>
      </c>
      <c r="J77" s="160">
        <v>0</v>
      </c>
      <c r="L77" s="135"/>
      <c r="M77" s="23"/>
      <c r="N77" s="23"/>
      <c r="O77" s="160"/>
      <c r="Q77" s="135" t="s">
        <v>219</v>
      </c>
      <c r="R77" s="23">
        <v>300</v>
      </c>
      <c r="S77" s="23">
        <v>0</v>
      </c>
      <c r="T77" s="160">
        <v>0</v>
      </c>
    </row>
    <row r="78" spans="1:20" x14ac:dyDescent="0.3">
      <c r="A78" s="135" t="s">
        <v>339</v>
      </c>
      <c r="B78" s="23">
        <v>210</v>
      </c>
      <c r="C78" s="23">
        <v>0</v>
      </c>
      <c r="D78" s="160">
        <v>0</v>
      </c>
      <c r="E78" s="57"/>
      <c r="G78" s="135" t="s">
        <v>320</v>
      </c>
      <c r="H78" s="23">
        <v>4530</v>
      </c>
      <c r="I78" s="23">
        <v>0</v>
      </c>
      <c r="J78" s="160">
        <v>0</v>
      </c>
      <c r="L78" s="135"/>
      <c r="M78" s="23"/>
      <c r="N78" s="23"/>
      <c r="O78" s="160"/>
      <c r="Q78" s="135" t="s">
        <v>233</v>
      </c>
      <c r="R78" s="23">
        <v>120</v>
      </c>
      <c r="S78" s="23">
        <v>0</v>
      </c>
      <c r="T78" s="160">
        <v>0</v>
      </c>
    </row>
    <row r="79" spans="1:20" x14ac:dyDescent="0.3">
      <c r="A79" s="135" t="s">
        <v>342</v>
      </c>
      <c r="B79" s="23">
        <v>1545</v>
      </c>
      <c r="C79" s="23">
        <v>0</v>
      </c>
      <c r="D79" s="160">
        <v>0</v>
      </c>
      <c r="E79" s="57"/>
      <c r="G79" s="135" t="s">
        <v>321</v>
      </c>
      <c r="H79" s="23">
        <v>60</v>
      </c>
      <c r="I79" s="23">
        <v>0</v>
      </c>
      <c r="J79" s="160">
        <v>0</v>
      </c>
      <c r="L79" s="135"/>
      <c r="M79" s="23"/>
      <c r="N79" s="23"/>
      <c r="O79" s="160"/>
      <c r="Q79" s="135" t="s">
        <v>147</v>
      </c>
      <c r="R79" s="23">
        <v>210</v>
      </c>
      <c r="S79" s="23">
        <v>0</v>
      </c>
      <c r="T79" s="160">
        <v>0</v>
      </c>
    </row>
    <row r="80" spans="1:20" x14ac:dyDescent="0.3">
      <c r="A80" s="135" t="s">
        <v>346</v>
      </c>
      <c r="B80" s="23">
        <v>1530</v>
      </c>
      <c r="C80" s="23">
        <v>0</v>
      </c>
      <c r="D80" s="160">
        <v>0</v>
      </c>
      <c r="E80" s="57"/>
      <c r="G80" s="135" t="s">
        <v>322</v>
      </c>
      <c r="H80" s="23">
        <v>7320</v>
      </c>
      <c r="I80" s="23">
        <v>0</v>
      </c>
      <c r="J80" s="160">
        <v>0</v>
      </c>
      <c r="L80" s="135"/>
      <c r="M80" s="23"/>
      <c r="N80" s="23"/>
      <c r="O80" s="160"/>
      <c r="Q80" s="135" t="s">
        <v>242</v>
      </c>
      <c r="R80" s="23">
        <v>60</v>
      </c>
      <c r="S80" s="23">
        <v>0</v>
      </c>
      <c r="T80" s="160">
        <v>0</v>
      </c>
    </row>
    <row r="81" spans="1:20" x14ac:dyDescent="0.3">
      <c r="A81" s="135" t="s">
        <v>350</v>
      </c>
      <c r="B81" s="23">
        <v>120</v>
      </c>
      <c r="C81" s="23">
        <v>0</v>
      </c>
      <c r="D81" s="160">
        <v>0</v>
      </c>
      <c r="E81" s="57"/>
      <c r="G81" s="135" t="s">
        <v>108</v>
      </c>
      <c r="H81" s="23">
        <v>30</v>
      </c>
      <c r="I81" s="23">
        <v>0</v>
      </c>
      <c r="J81" s="160">
        <v>0</v>
      </c>
      <c r="L81" s="135"/>
      <c r="M81" s="23"/>
      <c r="N81" s="23"/>
      <c r="O81" s="160"/>
      <c r="Q81" s="135" t="s">
        <v>289</v>
      </c>
      <c r="R81" s="23">
        <v>270</v>
      </c>
      <c r="S81" s="23">
        <v>0</v>
      </c>
      <c r="T81" s="160">
        <v>0</v>
      </c>
    </row>
    <row r="82" spans="1:20" x14ac:dyDescent="0.3">
      <c r="A82" s="135" t="s">
        <v>353</v>
      </c>
      <c r="B82" s="23">
        <v>600</v>
      </c>
      <c r="C82" s="23">
        <v>0</v>
      </c>
      <c r="D82" s="160">
        <v>0</v>
      </c>
      <c r="E82" s="57"/>
      <c r="G82" s="135" t="s">
        <v>112</v>
      </c>
      <c r="H82" s="23">
        <v>360</v>
      </c>
      <c r="I82" s="23">
        <v>0</v>
      </c>
      <c r="J82" s="160">
        <v>0</v>
      </c>
      <c r="L82" s="135"/>
      <c r="M82" s="23"/>
      <c r="N82" s="23"/>
      <c r="O82" s="160"/>
      <c r="Q82" s="135" t="s">
        <v>268</v>
      </c>
      <c r="R82" s="23">
        <v>570</v>
      </c>
      <c r="S82" s="23">
        <v>0</v>
      </c>
      <c r="T82" s="160">
        <v>0</v>
      </c>
    </row>
    <row r="83" spans="1:20" x14ac:dyDescent="0.3">
      <c r="A83" s="135" t="s">
        <v>104</v>
      </c>
      <c r="B83" s="23">
        <v>30</v>
      </c>
      <c r="C83" s="23">
        <v>0</v>
      </c>
      <c r="D83" s="160">
        <v>0</v>
      </c>
      <c r="E83" s="57"/>
      <c r="G83" s="135" t="s">
        <v>325</v>
      </c>
      <c r="H83" s="23">
        <v>1801</v>
      </c>
      <c r="I83" s="23">
        <v>0</v>
      </c>
      <c r="J83" s="160">
        <v>0</v>
      </c>
      <c r="L83" s="135"/>
      <c r="M83" s="23"/>
      <c r="N83" s="23"/>
      <c r="O83" s="160"/>
      <c r="Q83" s="135" t="s">
        <v>303</v>
      </c>
      <c r="R83" s="23">
        <v>570</v>
      </c>
      <c r="S83" s="23">
        <v>0</v>
      </c>
      <c r="T83" s="160">
        <v>0</v>
      </c>
    </row>
    <row r="84" spans="1:20" x14ac:dyDescent="0.3">
      <c r="A84" s="135" t="s">
        <v>360</v>
      </c>
      <c r="B84" s="23">
        <v>30</v>
      </c>
      <c r="C84" s="23">
        <v>0</v>
      </c>
      <c r="D84" s="160">
        <v>0</v>
      </c>
      <c r="E84" s="57"/>
      <c r="G84" s="135" t="s">
        <v>327</v>
      </c>
      <c r="H84" s="23">
        <v>60</v>
      </c>
      <c r="I84" s="23">
        <v>0</v>
      </c>
      <c r="J84" s="160">
        <v>0</v>
      </c>
      <c r="L84" s="135"/>
      <c r="M84" s="23"/>
      <c r="N84" s="23"/>
      <c r="O84" s="160"/>
      <c r="Q84" s="135" t="s">
        <v>120</v>
      </c>
      <c r="R84" s="23">
        <v>30</v>
      </c>
      <c r="S84" s="23">
        <v>0</v>
      </c>
      <c r="T84" s="160">
        <v>0</v>
      </c>
    </row>
    <row r="85" spans="1:20" x14ac:dyDescent="0.3">
      <c r="A85" s="135" t="s">
        <v>362</v>
      </c>
      <c r="B85" s="23">
        <v>420</v>
      </c>
      <c r="C85" s="23">
        <v>0</v>
      </c>
      <c r="D85" s="160">
        <v>0</v>
      </c>
      <c r="E85" s="57"/>
      <c r="G85" s="135" t="s">
        <v>121</v>
      </c>
      <c r="H85" s="23">
        <v>210</v>
      </c>
      <c r="I85" s="23">
        <v>0</v>
      </c>
      <c r="J85" s="160">
        <v>0</v>
      </c>
      <c r="L85" s="135"/>
      <c r="M85" s="23"/>
      <c r="N85" s="23"/>
      <c r="O85" s="160"/>
      <c r="Q85" s="135" t="s">
        <v>225</v>
      </c>
      <c r="R85" s="23">
        <v>240</v>
      </c>
      <c r="S85" s="23">
        <v>0</v>
      </c>
      <c r="T85" s="160">
        <v>0</v>
      </c>
    </row>
    <row r="86" spans="1:20" x14ac:dyDescent="0.3">
      <c r="A86" s="135" t="s">
        <v>135</v>
      </c>
      <c r="B86" s="23">
        <v>150</v>
      </c>
      <c r="C86" s="23">
        <v>0</v>
      </c>
      <c r="D86" s="160">
        <v>0</v>
      </c>
      <c r="E86" s="57"/>
      <c r="G86" s="135" t="s">
        <v>144</v>
      </c>
      <c r="H86" s="23">
        <v>30</v>
      </c>
      <c r="I86" s="23">
        <v>0</v>
      </c>
      <c r="J86" s="160">
        <v>0</v>
      </c>
      <c r="L86" s="135"/>
      <c r="M86" s="23"/>
      <c r="N86" s="23"/>
      <c r="O86" s="160"/>
      <c r="Q86" s="135" t="s">
        <v>369</v>
      </c>
      <c r="R86" s="23">
        <v>120</v>
      </c>
      <c r="S86" s="23">
        <v>0</v>
      </c>
      <c r="T86" s="160">
        <v>0</v>
      </c>
    </row>
    <row r="87" spans="1:20" x14ac:dyDescent="0.3">
      <c r="A87" s="135" t="s">
        <v>119</v>
      </c>
      <c r="B87" s="23">
        <v>450</v>
      </c>
      <c r="C87" s="23">
        <v>0</v>
      </c>
      <c r="D87" s="160">
        <v>0</v>
      </c>
      <c r="E87" s="57"/>
      <c r="G87" s="135" t="s">
        <v>328</v>
      </c>
      <c r="H87" s="23">
        <v>14730</v>
      </c>
      <c r="I87" s="23">
        <v>0</v>
      </c>
      <c r="J87" s="160">
        <v>0</v>
      </c>
      <c r="L87" s="135"/>
      <c r="M87" s="23"/>
      <c r="N87" s="23"/>
      <c r="O87" s="160"/>
      <c r="Q87" s="135" t="s">
        <v>227</v>
      </c>
      <c r="R87" s="23">
        <v>135</v>
      </c>
      <c r="S87" s="23">
        <v>0</v>
      </c>
      <c r="T87" s="160">
        <v>0</v>
      </c>
    </row>
    <row r="88" spans="1:20" x14ac:dyDescent="0.3">
      <c r="A88" s="135" t="s">
        <v>125</v>
      </c>
      <c r="B88" s="23">
        <v>150</v>
      </c>
      <c r="C88" s="23">
        <v>0</v>
      </c>
      <c r="D88" s="160">
        <v>0</v>
      </c>
      <c r="E88" s="57"/>
      <c r="G88" s="135" t="s">
        <v>116</v>
      </c>
      <c r="H88" s="23">
        <v>345</v>
      </c>
      <c r="I88" s="23">
        <v>0</v>
      </c>
      <c r="J88" s="160">
        <v>0</v>
      </c>
      <c r="L88" s="135"/>
      <c r="M88" s="23"/>
      <c r="N88" s="23"/>
      <c r="O88" s="160"/>
      <c r="Q88" s="135" t="s">
        <v>244</v>
      </c>
      <c r="R88" s="23">
        <v>1080</v>
      </c>
      <c r="S88" s="23">
        <v>0</v>
      </c>
      <c r="T88" s="160">
        <v>0</v>
      </c>
    </row>
    <row r="89" spans="1:20" x14ac:dyDescent="0.3">
      <c r="A89" s="135" t="s">
        <v>364</v>
      </c>
      <c r="B89" s="23">
        <v>4710</v>
      </c>
      <c r="C89" s="23">
        <v>0</v>
      </c>
      <c r="D89" s="160">
        <v>0</v>
      </c>
      <c r="E89" s="57"/>
      <c r="G89" s="135" t="s">
        <v>93</v>
      </c>
      <c r="H89" s="23">
        <v>180</v>
      </c>
      <c r="I89" s="23">
        <v>0</v>
      </c>
      <c r="J89" s="160">
        <v>0</v>
      </c>
      <c r="L89" s="135"/>
      <c r="M89" s="23"/>
      <c r="N89" s="23"/>
      <c r="O89" s="160"/>
      <c r="Q89" s="135" t="s">
        <v>361</v>
      </c>
      <c r="R89" s="23">
        <v>300</v>
      </c>
      <c r="S89" s="23">
        <v>0</v>
      </c>
      <c r="T89" s="160">
        <v>0</v>
      </c>
    </row>
    <row r="90" spans="1:20" x14ac:dyDescent="0.3">
      <c r="A90" s="135" t="s">
        <v>91</v>
      </c>
      <c r="B90" s="23">
        <v>180</v>
      </c>
      <c r="C90" s="23">
        <v>0</v>
      </c>
      <c r="D90" s="160">
        <v>0</v>
      </c>
      <c r="E90" s="57"/>
      <c r="G90" s="135" t="s">
        <v>330</v>
      </c>
      <c r="H90" s="23">
        <v>30</v>
      </c>
      <c r="I90" s="23">
        <v>0</v>
      </c>
      <c r="J90" s="160">
        <v>0</v>
      </c>
      <c r="L90" s="135"/>
      <c r="M90" s="23"/>
      <c r="N90" s="23"/>
      <c r="O90" s="160"/>
      <c r="Q90" s="135" t="s">
        <v>373</v>
      </c>
      <c r="R90" s="23">
        <v>405</v>
      </c>
      <c r="S90" s="23">
        <v>0</v>
      </c>
      <c r="T90" s="160">
        <v>0</v>
      </c>
    </row>
    <row r="91" spans="1:20" x14ac:dyDescent="0.3">
      <c r="A91" s="135" t="s">
        <v>367</v>
      </c>
      <c r="B91" s="23">
        <v>7605</v>
      </c>
      <c r="C91" s="23">
        <v>0</v>
      </c>
      <c r="D91" s="160">
        <v>0</v>
      </c>
      <c r="E91" s="57"/>
      <c r="G91" s="135" t="s">
        <v>332</v>
      </c>
      <c r="H91" s="23">
        <v>360</v>
      </c>
      <c r="I91" s="23">
        <v>0</v>
      </c>
      <c r="J91" s="160">
        <v>0</v>
      </c>
      <c r="L91" s="135"/>
      <c r="M91" s="23"/>
      <c r="N91" s="23"/>
      <c r="O91" s="160"/>
      <c r="Q91" s="135" t="s">
        <v>325</v>
      </c>
      <c r="R91" s="23">
        <v>300</v>
      </c>
      <c r="S91" s="23">
        <v>0</v>
      </c>
      <c r="T91" s="160">
        <v>0</v>
      </c>
    </row>
    <row r="92" spans="1:20" x14ac:dyDescent="0.3">
      <c r="A92" s="135" t="s">
        <v>368</v>
      </c>
      <c r="B92" s="23">
        <v>90</v>
      </c>
      <c r="C92" s="23">
        <v>0</v>
      </c>
      <c r="D92" s="160">
        <v>0</v>
      </c>
      <c r="E92" s="57"/>
      <c r="G92" s="135" t="s">
        <v>333</v>
      </c>
      <c r="H92" s="23">
        <v>30</v>
      </c>
      <c r="I92" s="23">
        <v>0</v>
      </c>
      <c r="J92" s="160">
        <v>0</v>
      </c>
      <c r="L92" s="135"/>
      <c r="M92" s="23"/>
      <c r="N92" s="23"/>
      <c r="O92" s="160"/>
      <c r="Q92" s="135" t="s">
        <v>305</v>
      </c>
      <c r="R92" s="23">
        <v>60</v>
      </c>
      <c r="S92" s="23">
        <v>0</v>
      </c>
      <c r="T92" s="160">
        <v>0</v>
      </c>
    </row>
    <row r="93" spans="1:20" x14ac:dyDescent="0.3">
      <c r="A93" s="135" t="s">
        <v>130</v>
      </c>
      <c r="B93" s="23">
        <v>150</v>
      </c>
      <c r="C93" s="23">
        <v>0</v>
      </c>
      <c r="D93" s="160">
        <v>0</v>
      </c>
      <c r="E93" s="57"/>
      <c r="G93" s="135" t="s">
        <v>335</v>
      </c>
      <c r="H93" s="23">
        <v>30</v>
      </c>
      <c r="I93" s="23">
        <v>0</v>
      </c>
      <c r="J93" s="160">
        <v>0</v>
      </c>
      <c r="L93" s="135"/>
      <c r="M93" s="23"/>
      <c r="N93" s="23"/>
      <c r="O93" s="160"/>
      <c r="Q93" s="135" t="s">
        <v>243</v>
      </c>
      <c r="R93" s="23">
        <v>480</v>
      </c>
      <c r="S93" s="23">
        <v>0</v>
      </c>
      <c r="T93" s="160">
        <v>0</v>
      </c>
    </row>
    <row r="94" spans="1:20" x14ac:dyDescent="0.3">
      <c r="A94" s="135" t="s">
        <v>214</v>
      </c>
      <c r="B94" s="23">
        <v>60</v>
      </c>
      <c r="C94" s="23">
        <v>0</v>
      </c>
      <c r="D94" s="160">
        <v>0</v>
      </c>
      <c r="E94" s="57"/>
      <c r="G94" s="135" t="s">
        <v>337</v>
      </c>
      <c r="H94" s="23">
        <v>780</v>
      </c>
      <c r="I94" s="23">
        <v>0</v>
      </c>
      <c r="J94" s="160">
        <v>0</v>
      </c>
      <c r="L94" s="135"/>
      <c r="M94" s="23"/>
      <c r="N94" s="23"/>
      <c r="O94" s="160"/>
      <c r="Q94" s="135"/>
      <c r="R94" s="23"/>
      <c r="S94" s="23"/>
      <c r="T94" s="160"/>
    </row>
    <row r="95" spans="1:20" x14ac:dyDescent="0.3">
      <c r="A95" s="135" t="s">
        <v>371</v>
      </c>
      <c r="B95" s="23">
        <v>810</v>
      </c>
      <c r="C95" s="23">
        <v>0</v>
      </c>
      <c r="D95" s="160">
        <v>0</v>
      </c>
      <c r="E95" s="57"/>
      <c r="G95" s="135" t="s">
        <v>340</v>
      </c>
      <c r="H95" s="23">
        <v>2760</v>
      </c>
      <c r="I95" s="23">
        <v>0</v>
      </c>
      <c r="J95" s="160">
        <v>0</v>
      </c>
      <c r="L95" s="135"/>
      <c r="M95" s="23"/>
      <c r="N95" s="23"/>
      <c r="O95" s="160"/>
      <c r="Q95" s="135"/>
      <c r="R95" s="23"/>
      <c r="S95" s="23"/>
      <c r="T95" s="160"/>
    </row>
    <row r="96" spans="1:20" x14ac:dyDescent="0.3">
      <c r="A96" s="135" t="s">
        <v>109</v>
      </c>
      <c r="B96" s="23">
        <v>30</v>
      </c>
      <c r="C96" s="23">
        <v>0</v>
      </c>
      <c r="D96" s="160">
        <v>0</v>
      </c>
      <c r="E96" s="57"/>
      <c r="G96" s="135" t="s">
        <v>341</v>
      </c>
      <c r="H96" s="23">
        <v>90</v>
      </c>
      <c r="I96" s="23">
        <v>0</v>
      </c>
      <c r="J96" s="160">
        <v>0</v>
      </c>
      <c r="L96" s="135"/>
      <c r="M96" s="23"/>
      <c r="N96" s="23"/>
      <c r="O96" s="160"/>
      <c r="Q96" s="135"/>
      <c r="R96" s="23"/>
      <c r="S96" s="23"/>
      <c r="T96" s="160"/>
    </row>
    <row r="97" spans="1:20" x14ac:dyDescent="0.3">
      <c r="A97" s="135"/>
      <c r="B97" s="23"/>
      <c r="C97" s="23"/>
      <c r="D97" s="160"/>
      <c r="E97" s="57"/>
      <c r="G97" s="135" t="s">
        <v>343</v>
      </c>
      <c r="H97" s="23">
        <v>60</v>
      </c>
      <c r="I97" s="23">
        <v>0</v>
      </c>
      <c r="J97" s="160">
        <v>0</v>
      </c>
      <c r="L97" s="135"/>
      <c r="M97" s="23"/>
      <c r="N97" s="23"/>
      <c r="O97" s="160"/>
      <c r="Q97" s="135"/>
      <c r="R97" s="23"/>
      <c r="S97" s="23"/>
      <c r="T97" s="160"/>
    </row>
    <row r="98" spans="1:20" x14ac:dyDescent="0.3">
      <c r="A98" s="135"/>
      <c r="B98" s="23"/>
      <c r="C98" s="23"/>
      <c r="D98" s="160"/>
      <c r="E98" s="57"/>
      <c r="G98" s="135" t="s">
        <v>124</v>
      </c>
      <c r="H98" s="23">
        <v>240</v>
      </c>
      <c r="I98" s="23">
        <v>0</v>
      </c>
      <c r="J98" s="160">
        <v>0</v>
      </c>
      <c r="L98" s="135"/>
      <c r="M98" s="23"/>
      <c r="N98" s="23"/>
      <c r="O98" s="160"/>
      <c r="Q98" s="135"/>
      <c r="R98" s="23"/>
      <c r="S98" s="23"/>
      <c r="T98" s="160"/>
    </row>
    <row r="99" spans="1:20" x14ac:dyDescent="0.3">
      <c r="A99" s="135"/>
      <c r="B99" s="23"/>
      <c r="C99" s="23"/>
      <c r="D99" s="160"/>
      <c r="E99" s="57"/>
      <c r="G99" s="135" t="s">
        <v>344</v>
      </c>
      <c r="H99" s="23">
        <v>30</v>
      </c>
      <c r="I99" s="23">
        <v>0</v>
      </c>
      <c r="J99" s="160">
        <v>0</v>
      </c>
      <c r="L99" s="135"/>
      <c r="M99" s="23"/>
      <c r="N99" s="23"/>
      <c r="O99" s="160"/>
      <c r="Q99" s="135"/>
      <c r="R99" s="23"/>
      <c r="S99" s="23"/>
      <c r="T99" s="160"/>
    </row>
    <row r="100" spans="1:20" ht="15" thickBot="1" x14ac:dyDescent="0.35">
      <c r="A100" s="161"/>
      <c r="B100" s="162"/>
      <c r="C100" s="162"/>
      <c r="D100" s="163"/>
      <c r="E100" s="57"/>
      <c r="G100" s="161" t="s">
        <v>345</v>
      </c>
      <c r="H100" s="162">
        <v>60</v>
      </c>
      <c r="I100" s="162">
        <v>0</v>
      </c>
      <c r="J100" s="163">
        <v>0</v>
      </c>
      <c r="L100" s="161"/>
      <c r="M100" s="162"/>
      <c r="N100" s="162"/>
      <c r="O100" s="163"/>
      <c r="Q100" s="161"/>
      <c r="R100" s="162"/>
      <c r="S100" s="162"/>
      <c r="T100" s="163"/>
    </row>
    <row r="101" spans="1:20" ht="21.6" thickBot="1" x14ac:dyDescent="0.45">
      <c r="A101" s="1"/>
      <c r="C101" s="164">
        <f>SUM(C4:C100)</f>
        <v>323</v>
      </c>
      <c r="D101" s="165">
        <f>SUM(D4:D100)</f>
        <v>57026</v>
      </c>
      <c r="E101" s="286"/>
      <c r="G101" t="s">
        <v>129</v>
      </c>
      <c r="H101">
        <v>30</v>
      </c>
      <c r="I101" s="166">
        <v>0</v>
      </c>
      <c r="J101" s="167">
        <v>0</v>
      </c>
      <c r="M101" s="207">
        <f>SUM(M4:M98)</f>
        <v>36795</v>
      </c>
      <c r="N101" s="166">
        <f>SUM(N4:N100)</f>
        <v>25</v>
      </c>
      <c r="O101" s="208">
        <f>SUM(O4:O100)</f>
        <v>43498</v>
      </c>
      <c r="R101">
        <f>SUM(R4:R100)</f>
        <v>40936</v>
      </c>
      <c r="S101" s="166">
        <f>SUM(S4:S100)</f>
        <v>26</v>
      </c>
      <c r="T101" s="167">
        <f>SUM(T4:T100)</f>
        <v>46618</v>
      </c>
    </row>
    <row r="102" spans="1:20" ht="18" x14ac:dyDescent="0.35">
      <c r="G102" t="s">
        <v>99</v>
      </c>
      <c r="H102">
        <v>930</v>
      </c>
      <c r="I102">
        <v>0</v>
      </c>
      <c r="J102">
        <v>0</v>
      </c>
      <c r="O102" s="210">
        <f>+N101/M101*1000000</f>
        <v>679.44014132354948</v>
      </c>
      <c r="T102" s="209">
        <f>+S101/R101*1000000</f>
        <v>635.13777604064887</v>
      </c>
    </row>
    <row r="103" spans="1:20" x14ac:dyDescent="0.3">
      <c r="G103" t="s">
        <v>92</v>
      </c>
      <c r="H103">
        <v>930</v>
      </c>
      <c r="I103">
        <v>0</v>
      </c>
      <c r="J103">
        <v>0</v>
      </c>
    </row>
    <row r="104" spans="1:20" x14ac:dyDescent="0.3">
      <c r="G104" t="s">
        <v>347</v>
      </c>
      <c r="H104">
        <v>30</v>
      </c>
      <c r="I104">
        <v>0</v>
      </c>
      <c r="J104">
        <v>0</v>
      </c>
    </row>
    <row r="105" spans="1:20" x14ac:dyDescent="0.3">
      <c r="G105" t="s">
        <v>348</v>
      </c>
      <c r="H105">
        <v>60</v>
      </c>
      <c r="I105">
        <v>0</v>
      </c>
      <c r="J105">
        <v>0</v>
      </c>
    </row>
    <row r="106" spans="1:20" x14ac:dyDescent="0.3">
      <c r="G106" t="s">
        <v>349</v>
      </c>
      <c r="H106">
        <v>4290</v>
      </c>
      <c r="I106">
        <v>0</v>
      </c>
      <c r="J106">
        <v>0</v>
      </c>
    </row>
    <row r="107" spans="1:20" x14ac:dyDescent="0.3">
      <c r="G107" t="s">
        <v>351</v>
      </c>
      <c r="H107">
        <v>4140</v>
      </c>
      <c r="I107">
        <v>0</v>
      </c>
      <c r="J107">
        <v>0</v>
      </c>
    </row>
    <row r="108" spans="1:20" x14ac:dyDescent="0.3">
      <c r="G108" t="s">
        <v>352</v>
      </c>
      <c r="H108">
        <v>660</v>
      </c>
      <c r="I108">
        <v>0</v>
      </c>
      <c r="J108">
        <v>0</v>
      </c>
    </row>
    <row r="109" spans="1:20" x14ac:dyDescent="0.3">
      <c r="G109" t="s">
        <v>354</v>
      </c>
      <c r="H109">
        <v>30</v>
      </c>
      <c r="I109">
        <v>0</v>
      </c>
      <c r="J109">
        <v>0</v>
      </c>
    </row>
    <row r="110" spans="1:20" x14ac:dyDescent="0.3">
      <c r="G110" t="s">
        <v>355</v>
      </c>
      <c r="H110">
        <v>300</v>
      </c>
      <c r="I110">
        <v>0</v>
      </c>
      <c r="J110">
        <v>0</v>
      </c>
    </row>
    <row r="111" spans="1:20" x14ac:dyDescent="0.3">
      <c r="G111" t="s">
        <v>356</v>
      </c>
      <c r="H111">
        <v>675</v>
      </c>
      <c r="I111">
        <v>0</v>
      </c>
      <c r="J111">
        <v>0</v>
      </c>
    </row>
    <row r="112" spans="1:20" x14ac:dyDescent="0.3">
      <c r="G112" t="s">
        <v>357</v>
      </c>
      <c r="H112">
        <v>675</v>
      </c>
      <c r="I112">
        <v>0</v>
      </c>
      <c r="J112">
        <v>0</v>
      </c>
    </row>
    <row r="113" spans="7:10" x14ac:dyDescent="0.3">
      <c r="G113" t="s">
        <v>358</v>
      </c>
      <c r="H113">
        <v>30</v>
      </c>
      <c r="I113">
        <v>0</v>
      </c>
      <c r="J113">
        <v>0</v>
      </c>
    </row>
    <row r="114" spans="7:10" x14ac:dyDescent="0.3">
      <c r="G114" t="s">
        <v>359</v>
      </c>
      <c r="H114">
        <v>2430</v>
      </c>
      <c r="I114">
        <v>0</v>
      </c>
      <c r="J114">
        <v>0</v>
      </c>
    </row>
    <row r="115" spans="7:10" x14ac:dyDescent="0.3">
      <c r="G115" t="s">
        <v>100</v>
      </c>
      <c r="H115">
        <v>900</v>
      </c>
      <c r="I115">
        <v>0</v>
      </c>
      <c r="J115">
        <v>0</v>
      </c>
    </row>
    <row r="116" spans="7:10" x14ac:dyDescent="0.3">
      <c r="G116" t="s">
        <v>94</v>
      </c>
      <c r="H116">
        <v>510</v>
      </c>
      <c r="I116">
        <v>0</v>
      </c>
      <c r="J116">
        <v>0</v>
      </c>
    </row>
    <row r="117" spans="7:10" x14ac:dyDescent="0.3">
      <c r="G117" t="s">
        <v>133</v>
      </c>
      <c r="H117">
        <v>195</v>
      </c>
      <c r="I117">
        <v>0</v>
      </c>
      <c r="J117">
        <v>0</v>
      </c>
    </row>
    <row r="118" spans="7:10" x14ac:dyDescent="0.3">
      <c r="G118" t="s">
        <v>361</v>
      </c>
      <c r="H118">
        <v>10650</v>
      </c>
      <c r="I118">
        <v>0</v>
      </c>
      <c r="J118">
        <v>0</v>
      </c>
    </row>
    <row r="119" spans="7:10" x14ac:dyDescent="0.3">
      <c r="G119" t="s">
        <v>127</v>
      </c>
      <c r="H119">
        <v>60</v>
      </c>
      <c r="I119">
        <v>0</v>
      </c>
      <c r="J119">
        <v>0</v>
      </c>
    </row>
    <row r="120" spans="7:10" x14ac:dyDescent="0.3">
      <c r="G120" t="s">
        <v>83</v>
      </c>
      <c r="H120">
        <v>210</v>
      </c>
      <c r="I120">
        <v>0</v>
      </c>
      <c r="J120">
        <v>0</v>
      </c>
    </row>
    <row r="121" spans="7:10" x14ac:dyDescent="0.3">
      <c r="G121" t="s">
        <v>363</v>
      </c>
      <c r="H121">
        <v>120</v>
      </c>
      <c r="I121">
        <v>0</v>
      </c>
      <c r="J121">
        <v>0</v>
      </c>
    </row>
    <row r="122" spans="7:10" x14ac:dyDescent="0.3">
      <c r="G122" t="s">
        <v>105</v>
      </c>
      <c r="H122">
        <v>105</v>
      </c>
      <c r="I122">
        <v>0</v>
      </c>
      <c r="J122">
        <v>0</v>
      </c>
    </row>
    <row r="123" spans="7:10" x14ac:dyDescent="0.3">
      <c r="G123" t="s">
        <v>365</v>
      </c>
      <c r="H123">
        <v>4725</v>
      </c>
      <c r="I123">
        <v>0</v>
      </c>
      <c r="J123">
        <v>0</v>
      </c>
    </row>
    <row r="124" spans="7:10" x14ac:dyDescent="0.3">
      <c r="G124" t="s">
        <v>366</v>
      </c>
      <c r="H124">
        <v>1560</v>
      </c>
      <c r="I124">
        <v>0</v>
      </c>
      <c r="J124">
        <v>0</v>
      </c>
    </row>
    <row r="125" spans="7:10" x14ac:dyDescent="0.3">
      <c r="G125" t="s">
        <v>107</v>
      </c>
      <c r="H125">
        <v>1290</v>
      </c>
      <c r="I125">
        <v>0</v>
      </c>
      <c r="J125">
        <v>0</v>
      </c>
    </row>
    <row r="126" spans="7:10" x14ac:dyDescent="0.3">
      <c r="G126" t="s">
        <v>131</v>
      </c>
      <c r="H126">
        <v>930</v>
      </c>
      <c r="I126">
        <v>0</v>
      </c>
      <c r="J126">
        <v>0</v>
      </c>
    </row>
    <row r="127" spans="7:10" x14ac:dyDescent="0.3">
      <c r="G127" t="s">
        <v>102</v>
      </c>
      <c r="H127">
        <v>2284</v>
      </c>
      <c r="I127">
        <v>0</v>
      </c>
      <c r="J127">
        <v>0</v>
      </c>
    </row>
    <row r="128" spans="7:10" x14ac:dyDescent="0.3">
      <c r="G128" t="s">
        <v>369</v>
      </c>
      <c r="H128">
        <v>2625</v>
      </c>
      <c r="I128">
        <v>0</v>
      </c>
      <c r="J128">
        <v>0</v>
      </c>
    </row>
    <row r="129" spans="7:10" x14ac:dyDescent="0.3">
      <c r="G129" t="s">
        <v>370</v>
      </c>
      <c r="H129">
        <v>90</v>
      </c>
      <c r="I129">
        <v>0</v>
      </c>
      <c r="J129">
        <v>0</v>
      </c>
    </row>
    <row r="130" spans="7:10" x14ac:dyDescent="0.3">
      <c r="G130" t="s">
        <v>372</v>
      </c>
      <c r="H130">
        <v>300</v>
      </c>
      <c r="I130">
        <v>0</v>
      </c>
      <c r="J130">
        <v>0</v>
      </c>
    </row>
    <row r="131" spans="7:10" x14ac:dyDescent="0.3">
      <c r="G131" t="s">
        <v>373</v>
      </c>
      <c r="H131">
        <v>4425</v>
      </c>
      <c r="I131">
        <v>0</v>
      </c>
      <c r="J131">
        <v>0</v>
      </c>
    </row>
    <row r="132" spans="7:10" x14ac:dyDescent="0.3">
      <c r="G132" t="s">
        <v>374</v>
      </c>
      <c r="H132">
        <v>5250</v>
      </c>
      <c r="I132">
        <v>0</v>
      </c>
      <c r="J132">
        <v>0</v>
      </c>
    </row>
    <row r="133" spans="7:10" x14ac:dyDescent="0.3">
      <c r="G133" t="s">
        <v>118</v>
      </c>
      <c r="H133">
        <v>450</v>
      </c>
      <c r="I133">
        <v>0</v>
      </c>
      <c r="J133">
        <v>0</v>
      </c>
    </row>
    <row r="134" spans="7:10" x14ac:dyDescent="0.3">
      <c r="G134" t="s">
        <v>375</v>
      </c>
      <c r="H134">
        <v>240</v>
      </c>
      <c r="I134">
        <v>0</v>
      </c>
      <c r="J134">
        <v>0</v>
      </c>
    </row>
    <row r="135" spans="7:10" x14ac:dyDescent="0.3">
      <c r="G135" t="s">
        <v>376</v>
      </c>
      <c r="H135">
        <v>30</v>
      </c>
      <c r="I135">
        <v>0</v>
      </c>
      <c r="J135">
        <v>0</v>
      </c>
    </row>
    <row r="136" spans="7:10" x14ac:dyDescent="0.3">
      <c r="G136" t="s">
        <v>120</v>
      </c>
      <c r="H136">
        <v>345</v>
      </c>
      <c r="I136">
        <v>0</v>
      </c>
      <c r="J136">
        <v>0</v>
      </c>
    </row>
    <row r="137" spans="7:10" x14ac:dyDescent="0.3">
      <c r="G137" t="s">
        <v>101</v>
      </c>
      <c r="H137">
        <v>1650</v>
      </c>
      <c r="I137">
        <v>0</v>
      </c>
      <c r="J137">
        <v>0</v>
      </c>
    </row>
    <row r="138" spans="7:10" x14ac:dyDescent="0.3">
      <c r="G138" t="s">
        <v>87</v>
      </c>
      <c r="H138">
        <v>360</v>
      </c>
      <c r="I138">
        <v>0</v>
      </c>
      <c r="J138">
        <v>0</v>
      </c>
    </row>
    <row r="139" spans="7:10" x14ac:dyDescent="0.3">
      <c r="G139" t="s">
        <v>377</v>
      </c>
      <c r="H139">
        <v>585</v>
      </c>
      <c r="I139">
        <v>0</v>
      </c>
      <c r="J139">
        <v>0</v>
      </c>
    </row>
  </sheetData>
  <mergeCells count="11">
    <mergeCell ref="A1:J1"/>
    <mergeCell ref="L1:T1"/>
    <mergeCell ref="A2:D2"/>
    <mergeCell ref="G2:J2"/>
    <mergeCell ref="L2:O2"/>
    <mergeCell ref="Q2:T2"/>
    <mergeCell ref="Y3:AH3"/>
    <mergeCell ref="Y4:AC4"/>
    <mergeCell ref="AD4:AH4"/>
    <mergeCell ref="Y5:AB5"/>
    <mergeCell ref="AD5:AG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X500"/>
  <sheetViews>
    <sheetView zoomScale="70" zoomScaleNormal="70" workbookViewId="0">
      <selection activeCell="B10" sqref="B10"/>
    </sheetView>
  </sheetViews>
  <sheetFormatPr baseColWidth="10" defaultColWidth="9.109375" defaultRowHeight="14.4" x14ac:dyDescent="0.3"/>
  <cols>
    <col min="1" max="1" width="5.6640625" customWidth="1"/>
    <col min="2" max="2" width="50" bestFit="1" customWidth="1"/>
    <col min="3" max="3" width="18.33203125" customWidth="1"/>
    <col min="4" max="4" width="10" bestFit="1" customWidth="1"/>
    <col min="5" max="5" width="2" customWidth="1"/>
    <col min="6" max="6" width="5.6640625" customWidth="1"/>
    <col min="7" max="7" width="21.44140625" customWidth="1"/>
    <col min="8" max="8" width="18.33203125" customWidth="1"/>
    <col min="9" max="9" width="10" bestFit="1" customWidth="1"/>
    <col min="10" max="10" width="4.6640625" customWidth="1"/>
    <col min="11" max="11" width="5.6640625" customWidth="1"/>
    <col min="12" max="12" width="21.44140625" customWidth="1"/>
    <col min="13" max="13" width="18.109375" customWidth="1"/>
    <col min="14" max="14" width="10" bestFit="1" customWidth="1"/>
    <col min="15" max="15" width="2" customWidth="1"/>
    <col min="16" max="16" width="5.6640625" customWidth="1"/>
    <col min="17" max="17" width="21.44140625" customWidth="1"/>
    <col min="18" max="18" width="18.109375" customWidth="1"/>
    <col min="19" max="19" width="10" bestFit="1" customWidth="1"/>
  </cols>
  <sheetData>
    <row r="1" spans="1:24" ht="15" thickBot="1" x14ac:dyDescent="0.35">
      <c r="A1" s="268" t="s">
        <v>43</v>
      </c>
      <c r="B1" s="269"/>
      <c r="C1" s="269"/>
      <c r="D1" s="269"/>
      <c r="E1" s="269"/>
      <c r="F1" s="269"/>
      <c r="G1" s="269"/>
      <c r="H1" s="269"/>
      <c r="I1" s="270"/>
      <c r="K1" s="271" t="s">
        <v>44</v>
      </c>
      <c r="L1" s="272"/>
      <c r="M1" s="272"/>
      <c r="N1" s="272"/>
      <c r="O1" s="272"/>
      <c r="P1" s="272"/>
      <c r="Q1" s="272"/>
      <c r="R1" s="272"/>
      <c r="S1" s="273"/>
    </row>
    <row r="2" spans="1:24" ht="15" thickBot="1" x14ac:dyDescent="0.35">
      <c r="A2" s="274" t="s">
        <v>45</v>
      </c>
      <c r="B2" s="275"/>
      <c r="C2" s="275"/>
      <c r="D2" s="276"/>
      <c r="E2" s="2"/>
      <c r="F2" s="274" t="s">
        <v>46</v>
      </c>
      <c r="G2" s="275"/>
      <c r="H2" s="275"/>
      <c r="I2" s="276"/>
      <c r="J2" s="2"/>
      <c r="K2" s="277" t="s">
        <v>45</v>
      </c>
      <c r="L2" s="278"/>
      <c r="M2" s="278"/>
      <c r="N2" s="279"/>
      <c r="P2" s="277" t="s">
        <v>46</v>
      </c>
      <c r="Q2" s="278"/>
      <c r="R2" s="278"/>
      <c r="S2" s="279"/>
    </row>
    <row r="3" spans="1:24" ht="15" thickBot="1" x14ac:dyDescent="0.35">
      <c r="A3" s="168" t="s">
        <v>57</v>
      </c>
      <c r="B3" s="168" t="s">
        <v>47</v>
      </c>
      <c r="C3" s="169" t="s">
        <v>58</v>
      </c>
      <c r="D3" s="170" t="s">
        <v>59</v>
      </c>
      <c r="E3" s="6"/>
      <c r="F3" s="168" t="s">
        <v>57</v>
      </c>
      <c r="G3" s="168" t="s">
        <v>47</v>
      </c>
      <c r="H3" s="169" t="s">
        <v>58</v>
      </c>
      <c r="I3" s="170" t="s">
        <v>59</v>
      </c>
      <c r="J3" s="6"/>
      <c r="K3" s="171" t="s">
        <v>57</v>
      </c>
      <c r="L3" s="171" t="s">
        <v>47</v>
      </c>
      <c r="M3" s="172" t="s">
        <v>58</v>
      </c>
      <c r="N3" s="173" t="s">
        <v>59</v>
      </c>
      <c r="P3" s="171" t="s">
        <v>57</v>
      </c>
      <c r="Q3" s="171" t="s">
        <v>47</v>
      </c>
      <c r="R3" s="172" t="s">
        <v>58</v>
      </c>
      <c r="S3" s="173" t="s">
        <v>59</v>
      </c>
    </row>
    <row r="4" spans="1:24" ht="15" thickBot="1" x14ac:dyDescent="0.35">
      <c r="A4" s="129">
        <v>3</v>
      </c>
      <c r="B4" s="174" t="s">
        <v>215</v>
      </c>
      <c r="C4" s="174" t="s">
        <v>151</v>
      </c>
      <c r="D4" s="175">
        <v>3</v>
      </c>
      <c r="F4" s="129">
        <v>1</v>
      </c>
      <c r="G4" s="174" t="s">
        <v>233</v>
      </c>
      <c r="H4" s="174" t="s">
        <v>152</v>
      </c>
      <c r="I4" s="175">
        <v>2</v>
      </c>
      <c r="K4" s="129">
        <v>3</v>
      </c>
      <c r="L4" s="174" t="s">
        <v>215</v>
      </c>
      <c r="M4" s="174" t="s">
        <v>151</v>
      </c>
      <c r="N4" s="175">
        <v>2</v>
      </c>
      <c r="P4" s="129">
        <v>60</v>
      </c>
      <c r="Q4" s="174" t="s">
        <v>255</v>
      </c>
      <c r="R4" s="174" t="s">
        <v>161</v>
      </c>
      <c r="S4" s="175">
        <v>1</v>
      </c>
      <c r="U4" s="264" t="s">
        <v>60</v>
      </c>
      <c r="V4" s="265"/>
      <c r="W4" s="266">
        <f>SUM(D4:D500,I4:I500)</f>
        <v>629</v>
      </c>
      <c r="X4" s="267"/>
    </row>
    <row r="5" spans="1:24" ht="15" thickBot="1" x14ac:dyDescent="0.35">
      <c r="A5" s="135">
        <v>3</v>
      </c>
      <c r="B5" s="23" t="s">
        <v>215</v>
      </c>
      <c r="C5" s="23" t="s">
        <v>150</v>
      </c>
      <c r="D5" s="160">
        <v>1</v>
      </c>
      <c r="F5" s="135">
        <v>1</v>
      </c>
      <c r="G5" s="23" t="s">
        <v>233</v>
      </c>
      <c r="H5" s="23" t="s">
        <v>161</v>
      </c>
      <c r="I5" s="160">
        <v>1</v>
      </c>
      <c r="K5" s="135">
        <v>44</v>
      </c>
      <c r="L5" s="23" t="s">
        <v>253</v>
      </c>
      <c r="M5" s="23" t="s">
        <v>150</v>
      </c>
      <c r="N5" s="160">
        <v>1</v>
      </c>
      <c r="P5" s="135">
        <v>60</v>
      </c>
      <c r="Q5" s="23" t="s">
        <v>255</v>
      </c>
      <c r="R5" s="23" t="s">
        <v>154</v>
      </c>
      <c r="S5" s="160">
        <v>1</v>
      </c>
    </row>
    <row r="6" spans="1:24" ht="15" thickBot="1" x14ac:dyDescent="0.35">
      <c r="A6" s="135">
        <v>11</v>
      </c>
      <c r="B6" s="23" t="s">
        <v>237</v>
      </c>
      <c r="C6" s="23" t="s">
        <v>150</v>
      </c>
      <c r="D6" s="160">
        <v>2</v>
      </c>
      <c r="F6" s="135">
        <v>8</v>
      </c>
      <c r="G6" s="23" t="s">
        <v>225</v>
      </c>
      <c r="H6" s="23" t="s">
        <v>154</v>
      </c>
      <c r="I6" s="160">
        <v>2</v>
      </c>
      <c r="K6" s="135">
        <v>47</v>
      </c>
      <c r="L6" s="23" t="s">
        <v>262</v>
      </c>
      <c r="M6" s="23" t="s">
        <v>161</v>
      </c>
      <c r="N6" s="160">
        <v>1</v>
      </c>
      <c r="P6" s="135">
        <v>96</v>
      </c>
      <c r="Q6" s="23" t="s">
        <v>252</v>
      </c>
      <c r="R6" s="23" t="s">
        <v>148</v>
      </c>
      <c r="S6" s="160">
        <v>1</v>
      </c>
      <c r="U6" s="264" t="s">
        <v>61</v>
      </c>
      <c r="V6" s="265"/>
      <c r="W6" s="266">
        <f>SUM(N4:N234,S4:S234)</f>
        <v>51</v>
      </c>
      <c r="X6" s="267"/>
    </row>
    <row r="7" spans="1:24" x14ac:dyDescent="0.3">
      <c r="A7" s="135">
        <v>12</v>
      </c>
      <c r="B7" s="23" t="s">
        <v>277</v>
      </c>
      <c r="C7" s="23" t="s">
        <v>157</v>
      </c>
      <c r="D7" s="160">
        <v>2</v>
      </c>
      <c r="F7" s="135">
        <v>8</v>
      </c>
      <c r="G7" s="23" t="s">
        <v>225</v>
      </c>
      <c r="H7" s="23" t="s">
        <v>151</v>
      </c>
      <c r="I7" s="160">
        <v>2</v>
      </c>
      <c r="K7" s="135">
        <v>57</v>
      </c>
      <c r="L7" s="23" t="s">
        <v>211</v>
      </c>
      <c r="M7" s="23" t="s">
        <v>172</v>
      </c>
      <c r="N7" s="160">
        <v>2</v>
      </c>
      <c r="P7" s="135">
        <v>124</v>
      </c>
      <c r="Q7" s="23" t="s">
        <v>229</v>
      </c>
      <c r="R7" s="23" t="s">
        <v>149</v>
      </c>
      <c r="S7" s="160">
        <v>2</v>
      </c>
    </row>
    <row r="8" spans="1:24" x14ac:dyDescent="0.3">
      <c r="A8" s="135">
        <v>15</v>
      </c>
      <c r="B8" s="23" t="s">
        <v>281</v>
      </c>
      <c r="C8" s="23" t="s">
        <v>155</v>
      </c>
      <c r="D8" s="160">
        <v>1</v>
      </c>
      <c r="F8" s="135">
        <v>8</v>
      </c>
      <c r="G8" s="23" t="s">
        <v>225</v>
      </c>
      <c r="H8" s="23" t="s">
        <v>175</v>
      </c>
      <c r="I8" s="160">
        <v>1</v>
      </c>
      <c r="K8" s="135">
        <v>70</v>
      </c>
      <c r="L8" s="23" t="s">
        <v>264</v>
      </c>
      <c r="M8" s="23" t="s">
        <v>150</v>
      </c>
      <c r="N8" s="160">
        <v>1</v>
      </c>
      <c r="P8" s="135">
        <v>124</v>
      </c>
      <c r="Q8" s="23" t="s">
        <v>229</v>
      </c>
      <c r="R8" s="23" t="s">
        <v>161</v>
      </c>
      <c r="S8" s="160">
        <v>1</v>
      </c>
    </row>
    <row r="9" spans="1:24" x14ac:dyDescent="0.3">
      <c r="A9" s="135">
        <v>15</v>
      </c>
      <c r="B9" s="23" t="s">
        <v>281</v>
      </c>
      <c r="C9" s="23" t="s">
        <v>162</v>
      </c>
      <c r="D9" s="160">
        <v>1</v>
      </c>
      <c r="F9" s="135">
        <v>8</v>
      </c>
      <c r="G9" s="23" t="s">
        <v>225</v>
      </c>
      <c r="H9" s="23" t="s">
        <v>162</v>
      </c>
      <c r="I9" s="160">
        <v>1</v>
      </c>
      <c r="K9" s="135">
        <v>95</v>
      </c>
      <c r="L9" s="23" t="s">
        <v>276</v>
      </c>
      <c r="M9" s="23" t="s">
        <v>158</v>
      </c>
      <c r="N9" s="160">
        <v>1</v>
      </c>
      <c r="P9" s="135">
        <v>151</v>
      </c>
      <c r="Q9" s="23" t="s">
        <v>280</v>
      </c>
      <c r="R9" s="23" t="s">
        <v>152</v>
      </c>
      <c r="S9" s="160">
        <v>1</v>
      </c>
    </row>
    <row r="10" spans="1:24" x14ac:dyDescent="0.3">
      <c r="A10" s="135">
        <v>19</v>
      </c>
      <c r="B10" s="23" t="s">
        <v>223</v>
      </c>
      <c r="C10" s="23" t="s">
        <v>149</v>
      </c>
      <c r="D10" s="160">
        <v>3</v>
      </c>
      <c r="F10" s="135">
        <v>8</v>
      </c>
      <c r="G10" s="23" t="s">
        <v>225</v>
      </c>
      <c r="H10" s="23" t="s">
        <v>157</v>
      </c>
      <c r="I10" s="160">
        <v>1</v>
      </c>
      <c r="K10" s="135">
        <v>95</v>
      </c>
      <c r="L10" s="23" t="s">
        <v>276</v>
      </c>
      <c r="M10" s="23" t="s">
        <v>153</v>
      </c>
      <c r="N10" s="160">
        <v>1</v>
      </c>
      <c r="P10" s="135">
        <v>177</v>
      </c>
      <c r="Q10" s="23" t="s">
        <v>288</v>
      </c>
      <c r="R10" s="23" t="s">
        <v>150</v>
      </c>
      <c r="S10" s="160">
        <v>1</v>
      </c>
    </row>
    <row r="11" spans="1:24" x14ac:dyDescent="0.3">
      <c r="A11" s="135">
        <v>19</v>
      </c>
      <c r="B11" s="23" t="s">
        <v>223</v>
      </c>
      <c r="C11" s="23" t="s">
        <v>165</v>
      </c>
      <c r="D11" s="160">
        <v>2</v>
      </c>
      <c r="F11" s="135">
        <v>8</v>
      </c>
      <c r="G11" s="23" t="s">
        <v>225</v>
      </c>
      <c r="H11" s="23" t="s">
        <v>169</v>
      </c>
      <c r="I11" s="160">
        <v>1</v>
      </c>
      <c r="K11" s="135">
        <v>137</v>
      </c>
      <c r="L11" s="23" t="s">
        <v>228</v>
      </c>
      <c r="M11" s="23" t="s">
        <v>151</v>
      </c>
      <c r="N11" s="160">
        <v>2</v>
      </c>
      <c r="P11" s="135">
        <v>214</v>
      </c>
      <c r="Q11" s="23" t="s">
        <v>299</v>
      </c>
      <c r="R11" s="23" t="s">
        <v>148</v>
      </c>
      <c r="S11" s="160">
        <v>1</v>
      </c>
    </row>
    <row r="12" spans="1:24" x14ac:dyDescent="0.3">
      <c r="A12" s="135">
        <v>19</v>
      </c>
      <c r="B12" s="23" t="s">
        <v>223</v>
      </c>
      <c r="C12" s="23" t="s">
        <v>169</v>
      </c>
      <c r="D12" s="160">
        <v>2</v>
      </c>
      <c r="F12" s="135">
        <v>8</v>
      </c>
      <c r="G12" s="23" t="s">
        <v>225</v>
      </c>
      <c r="H12" s="23" t="s">
        <v>149</v>
      </c>
      <c r="I12" s="160">
        <v>1</v>
      </c>
      <c r="K12" s="135">
        <v>262</v>
      </c>
      <c r="L12" s="23" t="s">
        <v>282</v>
      </c>
      <c r="M12" s="23" t="s">
        <v>167</v>
      </c>
      <c r="N12" s="160">
        <v>1</v>
      </c>
      <c r="P12" s="135">
        <v>214</v>
      </c>
      <c r="Q12" s="23" t="s">
        <v>299</v>
      </c>
      <c r="R12" s="23" t="s">
        <v>153</v>
      </c>
      <c r="S12" s="160">
        <v>1</v>
      </c>
    </row>
    <row r="13" spans="1:24" x14ac:dyDescent="0.3">
      <c r="A13" s="135">
        <v>19</v>
      </c>
      <c r="B13" s="23" t="s">
        <v>223</v>
      </c>
      <c r="C13" s="23" t="s">
        <v>176</v>
      </c>
      <c r="D13" s="160">
        <v>2</v>
      </c>
      <c r="F13" s="135">
        <v>16</v>
      </c>
      <c r="G13" s="23" t="s">
        <v>227</v>
      </c>
      <c r="H13" s="23" t="s">
        <v>148</v>
      </c>
      <c r="I13" s="160">
        <v>2</v>
      </c>
      <c r="K13" s="135">
        <v>264</v>
      </c>
      <c r="L13" s="23" t="s">
        <v>298</v>
      </c>
      <c r="M13" s="23" t="s">
        <v>186</v>
      </c>
      <c r="N13" s="160">
        <v>1</v>
      </c>
      <c r="P13" s="135">
        <v>263</v>
      </c>
      <c r="Q13" s="23" t="s">
        <v>115</v>
      </c>
      <c r="R13" s="23" t="s">
        <v>156</v>
      </c>
      <c r="S13" s="160">
        <v>2</v>
      </c>
    </row>
    <row r="14" spans="1:24" x14ac:dyDescent="0.3">
      <c r="A14" s="135">
        <v>19</v>
      </c>
      <c r="B14" s="23" t="s">
        <v>223</v>
      </c>
      <c r="C14" s="23" t="s">
        <v>193</v>
      </c>
      <c r="D14" s="160">
        <v>2</v>
      </c>
      <c r="F14" s="135">
        <v>16</v>
      </c>
      <c r="G14" s="23" t="s">
        <v>227</v>
      </c>
      <c r="H14" s="23" t="s">
        <v>152</v>
      </c>
      <c r="I14" s="160">
        <v>2</v>
      </c>
      <c r="K14" s="135">
        <v>313</v>
      </c>
      <c r="L14" s="23" t="s">
        <v>245</v>
      </c>
      <c r="M14" s="23" t="s">
        <v>161</v>
      </c>
      <c r="N14" s="160">
        <v>3</v>
      </c>
      <c r="P14" s="135">
        <v>306</v>
      </c>
      <c r="Q14" s="23" t="s">
        <v>259</v>
      </c>
      <c r="R14" s="23" t="s">
        <v>172</v>
      </c>
      <c r="S14" s="160">
        <v>1</v>
      </c>
    </row>
    <row r="15" spans="1:24" x14ac:dyDescent="0.3">
      <c r="A15" s="135">
        <v>19</v>
      </c>
      <c r="B15" s="23" t="s">
        <v>223</v>
      </c>
      <c r="C15" s="23" t="s">
        <v>184</v>
      </c>
      <c r="D15" s="160">
        <v>2</v>
      </c>
      <c r="F15" s="135">
        <v>16</v>
      </c>
      <c r="G15" s="23" t="s">
        <v>227</v>
      </c>
      <c r="H15" s="23" t="s">
        <v>150</v>
      </c>
      <c r="I15" s="160">
        <v>1</v>
      </c>
      <c r="K15" s="135">
        <v>363</v>
      </c>
      <c r="L15" s="23" t="s">
        <v>216</v>
      </c>
      <c r="M15" s="23" t="s">
        <v>150</v>
      </c>
      <c r="N15" s="160">
        <v>2</v>
      </c>
      <c r="P15" s="135">
        <v>314</v>
      </c>
      <c r="Q15" s="23" t="s">
        <v>269</v>
      </c>
      <c r="R15" s="23" t="s">
        <v>187</v>
      </c>
      <c r="S15" s="160">
        <v>1</v>
      </c>
    </row>
    <row r="16" spans="1:24" x14ac:dyDescent="0.3">
      <c r="A16" s="135">
        <v>19</v>
      </c>
      <c r="B16" s="23" t="s">
        <v>223</v>
      </c>
      <c r="C16" s="23" t="s">
        <v>161</v>
      </c>
      <c r="D16" s="160">
        <v>1</v>
      </c>
      <c r="F16" s="135">
        <v>16</v>
      </c>
      <c r="G16" s="23" t="s">
        <v>227</v>
      </c>
      <c r="H16" s="23" t="s">
        <v>149</v>
      </c>
      <c r="I16" s="160">
        <v>1</v>
      </c>
      <c r="K16" s="135">
        <v>363</v>
      </c>
      <c r="L16" s="23" t="s">
        <v>216</v>
      </c>
      <c r="M16" s="23" t="s">
        <v>153</v>
      </c>
      <c r="N16" s="160">
        <v>1</v>
      </c>
      <c r="P16" s="135">
        <v>314</v>
      </c>
      <c r="Q16" s="23" t="s">
        <v>269</v>
      </c>
      <c r="R16" s="23" t="s">
        <v>167</v>
      </c>
      <c r="S16" s="160">
        <v>1</v>
      </c>
    </row>
    <row r="17" spans="1:19" x14ac:dyDescent="0.3">
      <c r="A17" s="135">
        <v>19</v>
      </c>
      <c r="B17" s="23" t="s">
        <v>223</v>
      </c>
      <c r="C17" s="23" t="s">
        <v>162</v>
      </c>
      <c r="D17" s="160">
        <v>1</v>
      </c>
      <c r="F17" s="135">
        <v>22</v>
      </c>
      <c r="G17" s="23" t="s">
        <v>143</v>
      </c>
      <c r="H17" s="23" t="s">
        <v>152</v>
      </c>
      <c r="I17" s="160">
        <v>1</v>
      </c>
      <c r="K17" s="135">
        <v>363</v>
      </c>
      <c r="L17" s="23" t="s">
        <v>216</v>
      </c>
      <c r="M17" s="23" t="s">
        <v>155</v>
      </c>
      <c r="N17" s="160">
        <v>1</v>
      </c>
      <c r="P17" s="135">
        <v>314</v>
      </c>
      <c r="Q17" s="23" t="s">
        <v>269</v>
      </c>
      <c r="R17" s="23" t="s">
        <v>159</v>
      </c>
      <c r="S17" s="160">
        <v>1</v>
      </c>
    </row>
    <row r="18" spans="1:19" x14ac:dyDescent="0.3">
      <c r="A18" s="135">
        <v>19</v>
      </c>
      <c r="B18" s="23" t="s">
        <v>223</v>
      </c>
      <c r="C18" s="23" t="s">
        <v>192</v>
      </c>
      <c r="D18" s="160">
        <v>1</v>
      </c>
      <c r="F18" s="135">
        <v>29</v>
      </c>
      <c r="G18" s="23" t="s">
        <v>244</v>
      </c>
      <c r="H18" s="23" t="s">
        <v>148</v>
      </c>
      <c r="I18" s="160">
        <v>3</v>
      </c>
      <c r="K18" s="135">
        <v>363</v>
      </c>
      <c r="L18" s="23" t="s">
        <v>216</v>
      </c>
      <c r="M18" s="23" t="s">
        <v>157</v>
      </c>
      <c r="N18" s="160">
        <v>1</v>
      </c>
      <c r="P18" s="135">
        <v>344</v>
      </c>
      <c r="Q18" s="23" t="s">
        <v>221</v>
      </c>
      <c r="R18" s="23" t="s">
        <v>151</v>
      </c>
      <c r="S18" s="160">
        <v>1</v>
      </c>
    </row>
    <row r="19" spans="1:19" x14ac:dyDescent="0.3">
      <c r="A19" s="135">
        <v>19</v>
      </c>
      <c r="B19" s="23" t="s">
        <v>223</v>
      </c>
      <c r="C19" s="23" t="s">
        <v>155</v>
      </c>
      <c r="D19" s="160">
        <v>1</v>
      </c>
      <c r="F19" s="135">
        <v>29</v>
      </c>
      <c r="G19" s="23" t="s">
        <v>244</v>
      </c>
      <c r="H19" s="23" t="s">
        <v>155</v>
      </c>
      <c r="I19" s="160">
        <v>1</v>
      </c>
      <c r="K19" s="135">
        <v>396</v>
      </c>
      <c r="L19" s="23" t="s">
        <v>222</v>
      </c>
      <c r="M19" s="23" t="s">
        <v>149</v>
      </c>
      <c r="N19" s="160">
        <v>2</v>
      </c>
      <c r="P19" s="135">
        <v>348</v>
      </c>
      <c r="Q19" s="23" t="s">
        <v>232</v>
      </c>
      <c r="R19" s="23" t="s">
        <v>149</v>
      </c>
      <c r="S19" s="160">
        <v>1</v>
      </c>
    </row>
    <row r="20" spans="1:19" x14ac:dyDescent="0.3">
      <c r="A20" s="135">
        <v>19</v>
      </c>
      <c r="B20" s="23" t="s">
        <v>223</v>
      </c>
      <c r="C20" s="23" t="s">
        <v>168</v>
      </c>
      <c r="D20" s="160">
        <v>1</v>
      </c>
      <c r="F20" s="135">
        <v>29</v>
      </c>
      <c r="G20" s="23" t="s">
        <v>244</v>
      </c>
      <c r="H20" s="23" t="s">
        <v>152</v>
      </c>
      <c r="I20" s="160">
        <v>1</v>
      </c>
      <c r="K20" s="135">
        <v>396</v>
      </c>
      <c r="L20" s="23" t="s">
        <v>222</v>
      </c>
      <c r="M20" s="23" t="s">
        <v>152</v>
      </c>
      <c r="N20" s="160">
        <v>1</v>
      </c>
      <c r="P20" s="135">
        <v>354</v>
      </c>
      <c r="Q20" s="23" t="s">
        <v>286</v>
      </c>
      <c r="R20" s="23" t="s">
        <v>148</v>
      </c>
      <c r="S20" s="160">
        <v>1</v>
      </c>
    </row>
    <row r="21" spans="1:19" x14ac:dyDescent="0.3">
      <c r="A21" s="135">
        <v>19</v>
      </c>
      <c r="B21" s="23" t="s">
        <v>223</v>
      </c>
      <c r="C21" s="23" t="s">
        <v>166</v>
      </c>
      <c r="D21" s="160">
        <v>1</v>
      </c>
      <c r="F21" s="135">
        <v>29</v>
      </c>
      <c r="G21" s="23" t="s">
        <v>244</v>
      </c>
      <c r="H21" s="23" t="s">
        <v>179</v>
      </c>
      <c r="I21" s="160">
        <v>1</v>
      </c>
      <c r="K21" s="135">
        <v>398</v>
      </c>
      <c r="L21" s="23" t="s">
        <v>304</v>
      </c>
      <c r="M21" s="23" t="s">
        <v>151</v>
      </c>
      <c r="N21" s="160">
        <v>1</v>
      </c>
      <c r="P21" s="135">
        <v>356</v>
      </c>
      <c r="Q21" s="23" t="s">
        <v>266</v>
      </c>
      <c r="R21" s="23" t="s">
        <v>187</v>
      </c>
      <c r="S21" s="160">
        <v>1</v>
      </c>
    </row>
    <row r="22" spans="1:19" x14ac:dyDescent="0.3">
      <c r="A22" s="135">
        <v>19</v>
      </c>
      <c r="B22" s="23" t="s">
        <v>223</v>
      </c>
      <c r="C22" s="23" t="s">
        <v>194</v>
      </c>
      <c r="D22" s="160">
        <v>1</v>
      </c>
      <c r="F22" s="135">
        <v>29</v>
      </c>
      <c r="G22" s="23" t="s">
        <v>244</v>
      </c>
      <c r="H22" s="23" t="s">
        <v>201</v>
      </c>
      <c r="I22" s="160">
        <v>1</v>
      </c>
      <c r="K22" s="135"/>
      <c r="L22" s="23"/>
      <c r="M22" s="23"/>
      <c r="N22" s="160"/>
      <c r="P22" s="135">
        <v>373</v>
      </c>
      <c r="Q22" s="23" t="s">
        <v>251</v>
      </c>
      <c r="R22" s="23" t="s">
        <v>151</v>
      </c>
      <c r="S22" s="160">
        <v>1</v>
      </c>
    </row>
    <row r="23" spans="1:19" x14ac:dyDescent="0.3">
      <c r="A23" s="135">
        <v>19</v>
      </c>
      <c r="B23" s="23" t="s">
        <v>223</v>
      </c>
      <c r="C23" s="23" t="s">
        <v>189</v>
      </c>
      <c r="D23" s="160">
        <v>1</v>
      </c>
      <c r="F23" s="135">
        <v>39</v>
      </c>
      <c r="G23" s="23" t="s">
        <v>305</v>
      </c>
      <c r="H23" s="23" t="s">
        <v>159</v>
      </c>
      <c r="I23" s="160">
        <v>1</v>
      </c>
      <c r="K23" s="135"/>
      <c r="L23" s="23"/>
      <c r="M23" s="23"/>
      <c r="N23" s="160"/>
      <c r="P23" s="135">
        <v>375</v>
      </c>
      <c r="Q23" s="23" t="s">
        <v>300</v>
      </c>
      <c r="R23" s="23" t="s">
        <v>164</v>
      </c>
      <c r="S23" s="160">
        <v>1</v>
      </c>
    </row>
    <row r="24" spans="1:19" x14ac:dyDescent="0.3">
      <c r="A24" s="135">
        <v>31</v>
      </c>
      <c r="B24" s="23" t="s">
        <v>308</v>
      </c>
      <c r="C24" s="23" t="s">
        <v>149</v>
      </c>
      <c r="D24" s="160">
        <v>1</v>
      </c>
      <c r="F24" s="135">
        <v>40</v>
      </c>
      <c r="G24" s="23" t="s">
        <v>243</v>
      </c>
      <c r="H24" s="23" t="s">
        <v>155</v>
      </c>
      <c r="I24" s="160">
        <v>1</v>
      </c>
      <c r="K24" s="135"/>
      <c r="L24" s="23"/>
      <c r="M24" s="23"/>
      <c r="N24" s="160"/>
      <c r="P24" s="135">
        <v>393</v>
      </c>
      <c r="Q24" s="23" t="s">
        <v>82</v>
      </c>
      <c r="R24" s="23" t="s">
        <v>204</v>
      </c>
      <c r="S24" s="160">
        <v>1</v>
      </c>
    </row>
    <row r="25" spans="1:19" x14ac:dyDescent="0.3">
      <c r="A25" s="135">
        <v>33</v>
      </c>
      <c r="B25" s="23" t="s">
        <v>272</v>
      </c>
      <c r="C25" s="23" t="s">
        <v>149</v>
      </c>
      <c r="D25" s="160">
        <v>1</v>
      </c>
      <c r="F25" s="135">
        <v>40</v>
      </c>
      <c r="G25" s="23" t="s">
        <v>243</v>
      </c>
      <c r="H25" s="23" t="s">
        <v>157</v>
      </c>
      <c r="I25" s="160">
        <v>1</v>
      </c>
      <c r="K25" s="135"/>
      <c r="L25" s="23"/>
      <c r="M25" s="23"/>
      <c r="N25" s="160"/>
      <c r="P25" s="135">
        <v>394</v>
      </c>
      <c r="Q25" s="23" t="s">
        <v>236</v>
      </c>
      <c r="R25" s="23" t="s">
        <v>148</v>
      </c>
      <c r="S25" s="160">
        <v>1</v>
      </c>
    </row>
    <row r="26" spans="1:19" x14ac:dyDescent="0.3">
      <c r="A26" s="135">
        <v>33</v>
      </c>
      <c r="B26" s="23" t="s">
        <v>272</v>
      </c>
      <c r="C26" s="23" t="s">
        <v>165</v>
      </c>
      <c r="D26" s="160">
        <v>1</v>
      </c>
      <c r="F26" s="135">
        <v>40</v>
      </c>
      <c r="G26" s="23" t="s">
        <v>243</v>
      </c>
      <c r="H26" s="23" t="s">
        <v>171</v>
      </c>
      <c r="I26" s="160">
        <v>1</v>
      </c>
      <c r="K26" s="135"/>
      <c r="L26" s="23"/>
      <c r="M26" s="23"/>
      <c r="N26" s="160"/>
      <c r="P26" s="135">
        <v>449</v>
      </c>
      <c r="Q26" s="23" t="s">
        <v>213</v>
      </c>
      <c r="R26" s="23" t="s">
        <v>152</v>
      </c>
      <c r="S26" s="160">
        <v>2</v>
      </c>
    </row>
    <row r="27" spans="1:19" x14ac:dyDescent="0.3">
      <c r="A27" s="135">
        <v>33</v>
      </c>
      <c r="B27" s="23" t="s">
        <v>272</v>
      </c>
      <c r="C27" s="23" t="s">
        <v>174</v>
      </c>
      <c r="D27" s="160">
        <v>1</v>
      </c>
      <c r="F27" s="135">
        <v>40</v>
      </c>
      <c r="G27" s="23" t="s">
        <v>243</v>
      </c>
      <c r="H27" s="23" t="s">
        <v>149</v>
      </c>
      <c r="I27" s="160">
        <v>1</v>
      </c>
      <c r="K27" s="135"/>
      <c r="L27" s="23"/>
      <c r="M27" s="23"/>
      <c r="N27" s="160"/>
      <c r="P27" s="135"/>
      <c r="Q27" s="23"/>
      <c r="R27" s="23"/>
      <c r="S27" s="160"/>
    </row>
    <row r="28" spans="1:19" x14ac:dyDescent="0.3">
      <c r="A28" s="135">
        <v>33</v>
      </c>
      <c r="B28" s="23" t="s">
        <v>272</v>
      </c>
      <c r="C28" s="23" t="s">
        <v>173</v>
      </c>
      <c r="D28" s="160">
        <v>1</v>
      </c>
      <c r="F28" s="135">
        <v>40</v>
      </c>
      <c r="G28" s="23" t="s">
        <v>243</v>
      </c>
      <c r="H28" s="23" t="s">
        <v>189</v>
      </c>
      <c r="I28" s="160">
        <v>1</v>
      </c>
      <c r="K28" s="135"/>
      <c r="L28" s="23"/>
      <c r="M28" s="23"/>
      <c r="N28" s="160"/>
      <c r="P28" s="135"/>
      <c r="Q28" s="23"/>
      <c r="R28" s="23"/>
      <c r="S28" s="160"/>
    </row>
    <row r="29" spans="1:19" x14ac:dyDescent="0.3">
      <c r="A29" s="135">
        <v>33</v>
      </c>
      <c r="B29" s="23" t="s">
        <v>272</v>
      </c>
      <c r="C29" s="23" t="s">
        <v>151</v>
      </c>
      <c r="D29" s="160">
        <v>1</v>
      </c>
      <c r="F29" s="135">
        <v>45</v>
      </c>
      <c r="G29" s="23" t="s">
        <v>219</v>
      </c>
      <c r="H29" s="23" t="s">
        <v>151</v>
      </c>
      <c r="I29" s="160">
        <v>2</v>
      </c>
      <c r="K29" s="135"/>
      <c r="L29" s="23"/>
      <c r="M29" s="23"/>
      <c r="N29" s="160"/>
      <c r="P29" s="135"/>
      <c r="Q29" s="23"/>
      <c r="R29" s="23"/>
      <c r="S29" s="160"/>
    </row>
    <row r="30" spans="1:19" x14ac:dyDescent="0.3">
      <c r="A30" s="135">
        <v>36</v>
      </c>
      <c r="B30" s="23" t="s">
        <v>220</v>
      </c>
      <c r="C30" s="23" t="s">
        <v>153</v>
      </c>
      <c r="D30" s="160">
        <v>4</v>
      </c>
      <c r="F30" s="135">
        <v>45</v>
      </c>
      <c r="G30" s="23" t="s">
        <v>219</v>
      </c>
      <c r="H30" s="23" t="s">
        <v>149</v>
      </c>
      <c r="I30" s="160">
        <v>1</v>
      </c>
      <c r="K30" s="135"/>
      <c r="L30" s="23"/>
      <c r="M30" s="23"/>
      <c r="N30" s="160"/>
      <c r="P30" s="135"/>
      <c r="Q30" s="23"/>
      <c r="R30" s="23"/>
      <c r="S30" s="160"/>
    </row>
    <row r="31" spans="1:19" x14ac:dyDescent="0.3">
      <c r="A31" s="135">
        <v>36</v>
      </c>
      <c r="B31" s="23" t="s">
        <v>220</v>
      </c>
      <c r="C31" s="23" t="s">
        <v>155</v>
      </c>
      <c r="D31" s="160">
        <v>2</v>
      </c>
      <c r="F31" s="135">
        <v>45</v>
      </c>
      <c r="G31" s="23" t="s">
        <v>219</v>
      </c>
      <c r="H31" s="23" t="s">
        <v>152</v>
      </c>
      <c r="I31" s="160">
        <v>1</v>
      </c>
      <c r="K31" s="135"/>
      <c r="L31" s="23"/>
      <c r="M31" s="23"/>
      <c r="N31" s="160"/>
      <c r="P31" s="135"/>
      <c r="Q31" s="23"/>
      <c r="R31" s="23"/>
      <c r="S31" s="160"/>
    </row>
    <row r="32" spans="1:19" x14ac:dyDescent="0.3">
      <c r="A32" s="135">
        <v>36</v>
      </c>
      <c r="B32" s="23" t="s">
        <v>220</v>
      </c>
      <c r="C32" s="23" t="s">
        <v>148</v>
      </c>
      <c r="D32" s="160">
        <v>2</v>
      </c>
      <c r="F32" s="135">
        <v>51</v>
      </c>
      <c r="G32" s="23" t="s">
        <v>242</v>
      </c>
      <c r="H32" s="23" t="s">
        <v>148</v>
      </c>
      <c r="I32" s="160">
        <v>2</v>
      </c>
      <c r="K32" s="135"/>
      <c r="L32" s="23"/>
      <c r="M32" s="23"/>
      <c r="N32" s="160"/>
      <c r="P32" s="135"/>
      <c r="Q32" s="23"/>
      <c r="R32" s="23"/>
      <c r="S32" s="160"/>
    </row>
    <row r="33" spans="1:19" x14ac:dyDescent="0.3">
      <c r="A33" s="135">
        <v>36</v>
      </c>
      <c r="B33" s="23" t="s">
        <v>220</v>
      </c>
      <c r="C33" s="23" t="s">
        <v>182</v>
      </c>
      <c r="D33" s="160">
        <v>1</v>
      </c>
      <c r="F33" s="135">
        <v>53</v>
      </c>
      <c r="G33" s="23" t="s">
        <v>289</v>
      </c>
      <c r="H33" s="23" t="s">
        <v>148</v>
      </c>
      <c r="I33" s="160">
        <v>1</v>
      </c>
      <c r="K33" s="135"/>
      <c r="L33" s="23"/>
      <c r="M33" s="23"/>
      <c r="N33" s="160"/>
      <c r="P33" s="135"/>
      <c r="Q33" s="23"/>
      <c r="R33" s="23"/>
      <c r="S33" s="160"/>
    </row>
    <row r="34" spans="1:19" x14ac:dyDescent="0.3">
      <c r="A34" s="135">
        <v>36</v>
      </c>
      <c r="B34" s="23" t="s">
        <v>220</v>
      </c>
      <c r="C34" s="23" t="s">
        <v>149</v>
      </c>
      <c r="D34" s="160">
        <v>1</v>
      </c>
      <c r="F34" s="135">
        <v>53</v>
      </c>
      <c r="G34" s="23" t="s">
        <v>289</v>
      </c>
      <c r="H34" s="23" t="s">
        <v>149</v>
      </c>
      <c r="I34" s="160">
        <v>1</v>
      </c>
      <c r="K34" s="135"/>
      <c r="L34" s="23"/>
      <c r="M34" s="23"/>
      <c r="N34" s="160"/>
      <c r="P34" s="135"/>
      <c r="Q34" s="23"/>
      <c r="R34" s="23"/>
      <c r="S34" s="160"/>
    </row>
    <row r="35" spans="1:19" x14ac:dyDescent="0.3">
      <c r="A35" s="135">
        <v>36</v>
      </c>
      <c r="B35" s="23" t="s">
        <v>220</v>
      </c>
      <c r="C35" s="23" t="s">
        <v>169</v>
      </c>
      <c r="D35" s="160">
        <v>1</v>
      </c>
      <c r="F35" s="135">
        <v>54</v>
      </c>
      <c r="G35" s="23" t="s">
        <v>268</v>
      </c>
      <c r="H35" s="23" t="s">
        <v>150</v>
      </c>
      <c r="I35" s="160">
        <v>3</v>
      </c>
      <c r="K35" s="135"/>
      <c r="L35" s="23"/>
      <c r="M35" s="23"/>
      <c r="N35" s="160"/>
      <c r="P35" s="135"/>
      <c r="Q35" s="23"/>
      <c r="R35" s="23"/>
      <c r="S35" s="160"/>
    </row>
    <row r="36" spans="1:19" x14ac:dyDescent="0.3">
      <c r="A36" s="135">
        <v>36</v>
      </c>
      <c r="B36" s="23" t="s">
        <v>220</v>
      </c>
      <c r="C36" s="23" t="s">
        <v>157</v>
      </c>
      <c r="D36" s="160">
        <v>1</v>
      </c>
      <c r="F36" s="135">
        <v>54</v>
      </c>
      <c r="G36" s="23" t="s">
        <v>268</v>
      </c>
      <c r="H36" s="23" t="s">
        <v>149</v>
      </c>
      <c r="I36" s="160">
        <v>1</v>
      </c>
      <c r="K36" s="135"/>
      <c r="L36" s="23"/>
      <c r="M36" s="23"/>
      <c r="N36" s="160"/>
      <c r="P36" s="135"/>
      <c r="Q36" s="23"/>
      <c r="R36" s="23"/>
      <c r="S36" s="160"/>
    </row>
    <row r="37" spans="1:19" x14ac:dyDescent="0.3">
      <c r="A37" s="135">
        <v>36</v>
      </c>
      <c r="B37" s="23" t="s">
        <v>220</v>
      </c>
      <c r="C37" s="23" t="s">
        <v>150</v>
      </c>
      <c r="D37" s="160">
        <v>1</v>
      </c>
      <c r="F37" s="135">
        <v>54</v>
      </c>
      <c r="G37" s="23" t="s">
        <v>268</v>
      </c>
      <c r="H37" s="23" t="s">
        <v>210</v>
      </c>
      <c r="I37" s="160">
        <v>1</v>
      </c>
      <c r="K37" s="135"/>
      <c r="L37" s="23"/>
      <c r="M37" s="23"/>
      <c r="N37" s="160"/>
      <c r="P37" s="135"/>
      <c r="Q37" s="23"/>
      <c r="R37" s="23"/>
      <c r="S37" s="160"/>
    </row>
    <row r="38" spans="1:19" x14ac:dyDescent="0.3">
      <c r="A38" s="135">
        <v>36</v>
      </c>
      <c r="B38" s="23" t="s">
        <v>220</v>
      </c>
      <c r="C38" s="23" t="s">
        <v>151</v>
      </c>
      <c r="D38" s="160">
        <v>1</v>
      </c>
      <c r="F38" s="135">
        <v>60</v>
      </c>
      <c r="G38" s="23" t="s">
        <v>255</v>
      </c>
      <c r="H38" s="23" t="s">
        <v>152</v>
      </c>
      <c r="I38" s="160">
        <v>2</v>
      </c>
      <c r="K38" s="135"/>
      <c r="L38" s="23"/>
      <c r="M38" s="23"/>
      <c r="N38" s="160"/>
      <c r="P38" s="135"/>
      <c r="Q38" s="23"/>
      <c r="R38" s="23"/>
      <c r="S38" s="160"/>
    </row>
    <row r="39" spans="1:19" x14ac:dyDescent="0.3">
      <c r="A39" s="135">
        <v>36</v>
      </c>
      <c r="B39" s="23" t="s">
        <v>220</v>
      </c>
      <c r="C39" s="23" t="s">
        <v>175</v>
      </c>
      <c r="D39" s="160">
        <v>1</v>
      </c>
      <c r="F39" s="135">
        <v>60</v>
      </c>
      <c r="G39" s="23" t="s">
        <v>255</v>
      </c>
      <c r="H39" s="23" t="s">
        <v>154</v>
      </c>
      <c r="I39" s="160">
        <v>1</v>
      </c>
      <c r="K39" s="135"/>
      <c r="L39" s="23"/>
      <c r="M39" s="23"/>
      <c r="N39" s="160"/>
      <c r="P39" s="135"/>
      <c r="Q39" s="23"/>
      <c r="R39" s="23"/>
      <c r="S39" s="160"/>
    </row>
    <row r="40" spans="1:19" x14ac:dyDescent="0.3">
      <c r="A40" s="135">
        <v>44</v>
      </c>
      <c r="B40" s="23" t="s">
        <v>253</v>
      </c>
      <c r="C40" s="23" t="s">
        <v>149</v>
      </c>
      <c r="D40" s="160">
        <v>2</v>
      </c>
      <c r="F40" s="135">
        <v>60</v>
      </c>
      <c r="G40" s="23" t="s">
        <v>255</v>
      </c>
      <c r="H40" s="23" t="s">
        <v>153</v>
      </c>
      <c r="I40" s="160">
        <v>1</v>
      </c>
      <c r="K40" s="135"/>
      <c r="L40" s="23"/>
      <c r="M40" s="23"/>
      <c r="N40" s="160"/>
      <c r="P40" s="135"/>
      <c r="Q40" s="23"/>
      <c r="R40" s="23"/>
      <c r="S40" s="160"/>
    </row>
    <row r="41" spans="1:19" x14ac:dyDescent="0.3">
      <c r="A41" s="135">
        <v>44</v>
      </c>
      <c r="B41" s="23" t="s">
        <v>253</v>
      </c>
      <c r="C41" s="23" t="s">
        <v>150</v>
      </c>
      <c r="D41" s="160">
        <v>1</v>
      </c>
      <c r="F41" s="135">
        <v>60</v>
      </c>
      <c r="G41" s="23" t="s">
        <v>255</v>
      </c>
      <c r="H41" s="23" t="s">
        <v>148</v>
      </c>
      <c r="I41" s="160">
        <v>1</v>
      </c>
      <c r="K41" s="135"/>
      <c r="L41" s="23"/>
      <c r="M41" s="23"/>
      <c r="N41" s="160"/>
      <c r="P41" s="135"/>
      <c r="Q41" s="23"/>
      <c r="R41" s="23"/>
      <c r="S41" s="160"/>
    </row>
    <row r="42" spans="1:19" x14ac:dyDescent="0.3">
      <c r="A42" s="135">
        <v>47</v>
      </c>
      <c r="B42" s="23" t="s">
        <v>262</v>
      </c>
      <c r="C42" s="23" t="s">
        <v>159</v>
      </c>
      <c r="D42" s="160">
        <v>1</v>
      </c>
      <c r="F42" s="135">
        <v>60</v>
      </c>
      <c r="G42" s="23" t="s">
        <v>255</v>
      </c>
      <c r="H42" s="23" t="s">
        <v>149</v>
      </c>
      <c r="I42" s="160">
        <v>1</v>
      </c>
      <c r="K42" s="135"/>
      <c r="L42" s="23"/>
      <c r="M42" s="23"/>
      <c r="N42" s="160"/>
      <c r="P42" s="135"/>
      <c r="Q42" s="23"/>
      <c r="R42" s="23"/>
      <c r="S42" s="160"/>
    </row>
    <row r="43" spans="1:19" x14ac:dyDescent="0.3">
      <c r="A43" s="135">
        <v>47</v>
      </c>
      <c r="B43" s="23" t="s">
        <v>262</v>
      </c>
      <c r="C43" s="23" t="s">
        <v>168</v>
      </c>
      <c r="D43" s="160">
        <v>1</v>
      </c>
      <c r="F43" s="135">
        <v>60</v>
      </c>
      <c r="G43" s="23" t="s">
        <v>255</v>
      </c>
      <c r="H43" s="23" t="s">
        <v>182</v>
      </c>
      <c r="I43" s="160">
        <v>1</v>
      </c>
      <c r="K43" s="135"/>
      <c r="L43" s="23"/>
      <c r="M43" s="23"/>
      <c r="N43" s="160"/>
      <c r="P43" s="135"/>
      <c r="Q43" s="23"/>
      <c r="R43" s="23"/>
      <c r="S43" s="160"/>
    </row>
    <row r="44" spans="1:19" x14ac:dyDescent="0.3">
      <c r="A44" s="135">
        <v>47</v>
      </c>
      <c r="B44" s="23" t="s">
        <v>262</v>
      </c>
      <c r="C44" s="23" t="s">
        <v>157</v>
      </c>
      <c r="D44" s="160">
        <v>1</v>
      </c>
      <c r="F44" s="135">
        <v>60</v>
      </c>
      <c r="G44" s="23" t="s">
        <v>255</v>
      </c>
      <c r="H44" s="23" t="s">
        <v>161</v>
      </c>
      <c r="I44" s="160">
        <v>1</v>
      </c>
      <c r="K44" s="135"/>
      <c r="L44" s="23"/>
      <c r="M44" s="23"/>
      <c r="N44" s="160"/>
      <c r="P44" s="135"/>
      <c r="Q44" s="23"/>
      <c r="R44" s="23"/>
      <c r="S44" s="160"/>
    </row>
    <row r="45" spans="1:19" x14ac:dyDescent="0.3">
      <c r="A45" s="135">
        <v>47</v>
      </c>
      <c r="B45" s="23" t="s">
        <v>262</v>
      </c>
      <c r="C45" s="23" t="s">
        <v>161</v>
      </c>
      <c r="D45" s="160">
        <v>1</v>
      </c>
      <c r="F45" s="135">
        <v>82</v>
      </c>
      <c r="G45" s="23" t="s">
        <v>303</v>
      </c>
      <c r="H45" s="23" t="s">
        <v>170</v>
      </c>
      <c r="I45" s="160">
        <v>1</v>
      </c>
      <c r="K45" s="135"/>
      <c r="L45" s="23"/>
      <c r="M45" s="23"/>
      <c r="N45" s="160"/>
      <c r="P45" s="135"/>
      <c r="Q45" s="23"/>
      <c r="R45" s="23"/>
      <c r="S45" s="160"/>
    </row>
    <row r="46" spans="1:19" x14ac:dyDescent="0.3">
      <c r="A46" s="135">
        <v>57</v>
      </c>
      <c r="B46" s="23" t="s">
        <v>211</v>
      </c>
      <c r="C46" s="23" t="s">
        <v>148</v>
      </c>
      <c r="D46" s="160">
        <v>3</v>
      </c>
      <c r="F46" s="135">
        <v>96</v>
      </c>
      <c r="G46" s="23" t="s">
        <v>252</v>
      </c>
      <c r="H46" s="23" t="s">
        <v>160</v>
      </c>
      <c r="I46" s="160">
        <v>1</v>
      </c>
      <c r="K46" s="135"/>
      <c r="L46" s="23"/>
      <c r="M46" s="23"/>
      <c r="N46" s="160"/>
      <c r="P46" s="135"/>
      <c r="Q46" s="23"/>
      <c r="R46" s="23"/>
      <c r="S46" s="160"/>
    </row>
    <row r="47" spans="1:19" x14ac:dyDescent="0.3">
      <c r="A47" s="135">
        <v>57</v>
      </c>
      <c r="B47" s="23" t="s">
        <v>211</v>
      </c>
      <c r="C47" s="23" t="s">
        <v>155</v>
      </c>
      <c r="D47" s="160">
        <v>2</v>
      </c>
      <c r="F47" s="135">
        <v>96</v>
      </c>
      <c r="G47" s="23" t="s">
        <v>252</v>
      </c>
      <c r="H47" s="23" t="s">
        <v>150</v>
      </c>
      <c r="I47" s="160">
        <v>1</v>
      </c>
      <c r="K47" s="135"/>
      <c r="L47" s="23"/>
      <c r="M47" s="23"/>
      <c r="N47" s="160"/>
      <c r="P47" s="135"/>
      <c r="Q47" s="23"/>
      <c r="R47" s="23"/>
      <c r="S47" s="160"/>
    </row>
    <row r="48" spans="1:19" x14ac:dyDescent="0.3">
      <c r="A48" s="135">
        <v>57</v>
      </c>
      <c r="B48" s="23" t="s">
        <v>211</v>
      </c>
      <c r="C48" s="23" t="s">
        <v>151</v>
      </c>
      <c r="D48" s="160">
        <v>2</v>
      </c>
      <c r="F48" s="135">
        <v>96</v>
      </c>
      <c r="G48" s="23" t="s">
        <v>252</v>
      </c>
      <c r="H48" s="23" t="s">
        <v>148</v>
      </c>
      <c r="I48" s="160">
        <v>1</v>
      </c>
      <c r="K48" s="135"/>
      <c r="L48" s="23"/>
      <c r="M48" s="23"/>
      <c r="N48" s="160"/>
      <c r="P48" s="135"/>
      <c r="Q48" s="23"/>
      <c r="R48" s="23"/>
      <c r="S48" s="160"/>
    </row>
    <row r="49" spans="1:19" x14ac:dyDescent="0.3">
      <c r="A49" s="135">
        <v>57</v>
      </c>
      <c r="B49" s="23" t="s">
        <v>211</v>
      </c>
      <c r="C49" s="23" t="s">
        <v>172</v>
      </c>
      <c r="D49" s="160">
        <v>2</v>
      </c>
      <c r="F49" s="135">
        <v>99</v>
      </c>
      <c r="G49" s="23" t="s">
        <v>270</v>
      </c>
      <c r="H49" s="23" t="s">
        <v>152</v>
      </c>
      <c r="I49" s="160">
        <v>1</v>
      </c>
      <c r="K49" s="135"/>
      <c r="L49" s="23"/>
      <c r="M49" s="23"/>
      <c r="N49" s="160"/>
      <c r="P49" s="135"/>
      <c r="Q49" s="23"/>
      <c r="R49" s="23"/>
      <c r="S49" s="160"/>
    </row>
    <row r="50" spans="1:19" x14ac:dyDescent="0.3">
      <c r="A50" s="135">
        <v>57</v>
      </c>
      <c r="B50" s="23" t="s">
        <v>211</v>
      </c>
      <c r="C50" s="23" t="s">
        <v>153</v>
      </c>
      <c r="D50" s="160">
        <v>1</v>
      </c>
      <c r="F50" s="135">
        <v>99</v>
      </c>
      <c r="G50" s="23" t="s">
        <v>270</v>
      </c>
      <c r="H50" s="23" t="s">
        <v>154</v>
      </c>
      <c r="I50" s="160">
        <v>1</v>
      </c>
      <c r="K50" s="135"/>
      <c r="L50" s="23"/>
      <c r="M50" s="23"/>
      <c r="N50" s="160"/>
      <c r="P50" s="135"/>
      <c r="Q50" s="23"/>
      <c r="R50" s="23"/>
      <c r="S50" s="160"/>
    </row>
    <row r="51" spans="1:19" x14ac:dyDescent="0.3">
      <c r="A51" s="135">
        <v>57</v>
      </c>
      <c r="B51" s="23" t="s">
        <v>211</v>
      </c>
      <c r="C51" s="23" t="s">
        <v>169</v>
      </c>
      <c r="D51" s="160">
        <v>1</v>
      </c>
      <c r="F51" s="135">
        <v>99</v>
      </c>
      <c r="G51" s="23" t="s">
        <v>270</v>
      </c>
      <c r="H51" s="23" t="s">
        <v>153</v>
      </c>
      <c r="I51" s="160">
        <v>1</v>
      </c>
      <c r="K51" s="135"/>
      <c r="L51" s="23"/>
      <c r="M51" s="23"/>
      <c r="N51" s="160"/>
      <c r="P51" s="135"/>
      <c r="Q51" s="23"/>
      <c r="R51" s="23"/>
      <c r="S51" s="160"/>
    </row>
    <row r="52" spans="1:19" x14ac:dyDescent="0.3">
      <c r="A52" s="135">
        <v>63</v>
      </c>
      <c r="B52" s="23" t="s">
        <v>274</v>
      </c>
      <c r="C52" s="23" t="s">
        <v>185</v>
      </c>
      <c r="D52" s="160">
        <v>2</v>
      </c>
      <c r="F52" s="135">
        <v>99</v>
      </c>
      <c r="G52" s="23" t="s">
        <v>270</v>
      </c>
      <c r="H52" s="23" t="s">
        <v>149</v>
      </c>
      <c r="I52" s="160">
        <v>1</v>
      </c>
      <c r="K52" s="135"/>
      <c r="L52" s="23"/>
      <c r="M52" s="23"/>
      <c r="N52" s="160"/>
      <c r="P52" s="135"/>
      <c r="Q52" s="23"/>
      <c r="R52" s="23"/>
      <c r="S52" s="160"/>
    </row>
    <row r="53" spans="1:19" x14ac:dyDescent="0.3">
      <c r="A53" s="135">
        <v>63</v>
      </c>
      <c r="B53" s="23" t="s">
        <v>274</v>
      </c>
      <c r="C53" s="23" t="s">
        <v>150</v>
      </c>
      <c r="D53" s="160">
        <v>1</v>
      </c>
      <c r="F53" s="135">
        <v>100</v>
      </c>
      <c r="G53" s="23" t="s">
        <v>138</v>
      </c>
      <c r="H53" s="23" t="s">
        <v>156</v>
      </c>
      <c r="I53" s="160">
        <v>3</v>
      </c>
      <c r="K53" s="135"/>
      <c r="L53" s="23"/>
      <c r="M53" s="23"/>
      <c r="N53" s="160"/>
      <c r="P53" s="135"/>
      <c r="Q53" s="23"/>
      <c r="R53" s="23"/>
      <c r="S53" s="160"/>
    </row>
    <row r="54" spans="1:19" x14ac:dyDescent="0.3">
      <c r="A54" s="135">
        <v>63</v>
      </c>
      <c r="B54" s="23" t="s">
        <v>274</v>
      </c>
      <c r="C54" s="23" t="s">
        <v>154</v>
      </c>
      <c r="D54" s="160">
        <v>1</v>
      </c>
      <c r="F54" s="135">
        <v>100</v>
      </c>
      <c r="G54" s="23" t="s">
        <v>138</v>
      </c>
      <c r="H54" s="23" t="s">
        <v>165</v>
      </c>
      <c r="I54" s="160">
        <v>1</v>
      </c>
      <c r="K54" s="135"/>
      <c r="L54" s="23"/>
      <c r="M54" s="23"/>
      <c r="N54" s="160"/>
      <c r="P54" s="135"/>
      <c r="Q54" s="23"/>
      <c r="R54" s="23"/>
      <c r="S54" s="160"/>
    </row>
    <row r="55" spans="1:19" x14ac:dyDescent="0.3">
      <c r="A55" s="135">
        <v>67</v>
      </c>
      <c r="B55" s="23" t="s">
        <v>275</v>
      </c>
      <c r="C55" s="23" t="s">
        <v>152</v>
      </c>
      <c r="D55" s="160">
        <v>1</v>
      </c>
      <c r="F55" s="135">
        <v>109</v>
      </c>
      <c r="G55" s="23" t="s">
        <v>217</v>
      </c>
      <c r="H55" s="23" t="s">
        <v>148</v>
      </c>
      <c r="I55" s="160">
        <v>2</v>
      </c>
      <c r="K55" s="135"/>
      <c r="L55" s="23"/>
      <c r="M55" s="23"/>
      <c r="N55" s="160"/>
      <c r="P55" s="135"/>
      <c r="Q55" s="23"/>
      <c r="R55" s="23"/>
      <c r="S55" s="160"/>
    </row>
    <row r="56" spans="1:19" x14ac:dyDescent="0.3">
      <c r="A56" s="135">
        <v>67</v>
      </c>
      <c r="B56" s="23" t="s">
        <v>275</v>
      </c>
      <c r="C56" s="23" t="s">
        <v>153</v>
      </c>
      <c r="D56" s="160">
        <v>1</v>
      </c>
      <c r="F56" s="135">
        <v>109</v>
      </c>
      <c r="G56" s="23" t="s">
        <v>217</v>
      </c>
      <c r="H56" s="23" t="s">
        <v>158</v>
      </c>
      <c r="I56" s="160">
        <v>2</v>
      </c>
      <c r="K56" s="135"/>
      <c r="L56" s="23"/>
      <c r="M56" s="23"/>
      <c r="N56" s="160"/>
      <c r="P56" s="135"/>
      <c r="Q56" s="23"/>
      <c r="R56" s="23"/>
      <c r="S56" s="160"/>
    </row>
    <row r="57" spans="1:19" x14ac:dyDescent="0.3">
      <c r="A57" s="135">
        <v>67</v>
      </c>
      <c r="B57" s="23" t="s">
        <v>275</v>
      </c>
      <c r="C57" s="23" t="s">
        <v>148</v>
      </c>
      <c r="D57" s="160">
        <v>1</v>
      </c>
      <c r="F57" s="135">
        <v>109</v>
      </c>
      <c r="G57" s="23" t="s">
        <v>217</v>
      </c>
      <c r="H57" s="23" t="s">
        <v>157</v>
      </c>
      <c r="I57" s="160">
        <v>2</v>
      </c>
      <c r="K57" s="135"/>
      <c r="L57" s="23"/>
      <c r="M57" s="23"/>
      <c r="N57" s="160"/>
      <c r="P57" s="135"/>
      <c r="Q57" s="23"/>
      <c r="R57" s="23"/>
      <c r="S57" s="160"/>
    </row>
    <row r="58" spans="1:19" x14ac:dyDescent="0.3">
      <c r="A58" s="135">
        <v>67</v>
      </c>
      <c r="B58" s="23" t="s">
        <v>275</v>
      </c>
      <c r="C58" s="23" t="s">
        <v>157</v>
      </c>
      <c r="D58" s="160">
        <v>1</v>
      </c>
      <c r="F58" s="135">
        <v>109</v>
      </c>
      <c r="G58" s="23" t="s">
        <v>217</v>
      </c>
      <c r="H58" s="23" t="s">
        <v>162</v>
      </c>
      <c r="I58" s="160">
        <v>2</v>
      </c>
      <c r="K58" s="135"/>
      <c r="L58" s="23"/>
      <c r="M58" s="23"/>
      <c r="N58" s="160"/>
      <c r="P58" s="135"/>
      <c r="Q58" s="23"/>
      <c r="R58" s="23"/>
      <c r="S58" s="160"/>
    </row>
    <row r="59" spans="1:19" x14ac:dyDescent="0.3">
      <c r="A59" s="135">
        <v>67</v>
      </c>
      <c r="B59" s="23" t="s">
        <v>275</v>
      </c>
      <c r="C59" s="23" t="s">
        <v>178</v>
      </c>
      <c r="D59" s="160">
        <v>1</v>
      </c>
      <c r="F59" s="135">
        <v>109</v>
      </c>
      <c r="G59" s="23" t="s">
        <v>217</v>
      </c>
      <c r="H59" s="23" t="s">
        <v>150</v>
      </c>
      <c r="I59" s="160">
        <v>1</v>
      </c>
      <c r="K59" s="135"/>
      <c r="L59" s="23"/>
      <c r="M59" s="23"/>
      <c r="N59" s="160"/>
      <c r="P59" s="135"/>
      <c r="Q59" s="23"/>
      <c r="R59" s="23"/>
      <c r="S59" s="160"/>
    </row>
    <row r="60" spans="1:19" x14ac:dyDescent="0.3">
      <c r="A60" s="135">
        <v>67</v>
      </c>
      <c r="B60" s="23" t="s">
        <v>275</v>
      </c>
      <c r="C60" s="23" t="s">
        <v>167</v>
      </c>
      <c r="D60" s="160">
        <v>1</v>
      </c>
      <c r="F60" s="135">
        <v>109</v>
      </c>
      <c r="G60" s="23" t="s">
        <v>217</v>
      </c>
      <c r="H60" s="23" t="s">
        <v>159</v>
      </c>
      <c r="I60" s="160">
        <v>1</v>
      </c>
      <c r="K60" s="135"/>
      <c r="L60" s="23"/>
      <c r="M60" s="23"/>
      <c r="N60" s="160"/>
      <c r="P60" s="135"/>
      <c r="Q60" s="23"/>
      <c r="R60" s="23"/>
      <c r="S60" s="160"/>
    </row>
    <row r="61" spans="1:19" x14ac:dyDescent="0.3">
      <c r="A61" s="135">
        <v>67</v>
      </c>
      <c r="B61" s="23" t="s">
        <v>275</v>
      </c>
      <c r="C61" s="23" t="s">
        <v>149</v>
      </c>
      <c r="D61" s="160">
        <v>1</v>
      </c>
      <c r="F61" s="135">
        <v>109</v>
      </c>
      <c r="G61" s="23" t="s">
        <v>217</v>
      </c>
      <c r="H61" s="23" t="s">
        <v>154</v>
      </c>
      <c r="I61" s="160">
        <v>1</v>
      </c>
      <c r="K61" s="135"/>
      <c r="L61" s="23"/>
      <c r="M61" s="23"/>
      <c r="N61" s="160"/>
      <c r="P61" s="135"/>
      <c r="Q61" s="23"/>
      <c r="R61" s="23"/>
      <c r="S61" s="160"/>
    </row>
    <row r="62" spans="1:19" x14ac:dyDescent="0.3">
      <c r="A62" s="135">
        <v>70</v>
      </c>
      <c r="B62" s="23" t="s">
        <v>264</v>
      </c>
      <c r="C62" s="23" t="s">
        <v>149</v>
      </c>
      <c r="D62" s="160">
        <v>1</v>
      </c>
      <c r="F62" s="135">
        <v>109</v>
      </c>
      <c r="G62" s="23" t="s">
        <v>217</v>
      </c>
      <c r="H62" s="23" t="s">
        <v>152</v>
      </c>
      <c r="I62" s="160">
        <v>1</v>
      </c>
      <c r="K62" s="135"/>
      <c r="L62" s="23"/>
      <c r="M62" s="23"/>
      <c r="N62" s="160"/>
      <c r="P62" s="135"/>
      <c r="Q62" s="23"/>
      <c r="R62" s="23"/>
      <c r="S62" s="160"/>
    </row>
    <row r="63" spans="1:19" x14ac:dyDescent="0.3">
      <c r="A63" s="135">
        <v>70</v>
      </c>
      <c r="B63" s="23" t="s">
        <v>264</v>
      </c>
      <c r="C63" s="23" t="s">
        <v>150</v>
      </c>
      <c r="D63" s="160">
        <v>1</v>
      </c>
      <c r="F63" s="135">
        <v>124</v>
      </c>
      <c r="G63" s="23" t="s">
        <v>229</v>
      </c>
      <c r="H63" s="23" t="s">
        <v>149</v>
      </c>
      <c r="I63" s="160">
        <v>3</v>
      </c>
      <c r="K63" s="135"/>
      <c r="L63" s="23"/>
      <c r="M63" s="23"/>
      <c r="N63" s="160"/>
      <c r="P63" s="135"/>
      <c r="Q63" s="23"/>
      <c r="R63" s="23"/>
      <c r="S63" s="160"/>
    </row>
    <row r="64" spans="1:19" x14ac:dyDescent="0.3">
      <c r="A64" s="135">
        <v>70</v>
      </c>
      <c r="B64" s="23" t="s">
        <v>264</v>
      </c>
      <c r="C64" s="23" t="s">
        <v>148</v>
      </c>
      <c r="D64" s="160">
        <v>1</v>
      </c>
      <c r="F64" s="135">
        <v>124</v>
      </c>
      <c r="G64" s="23" t="s">
        <v>229</v>
      </c>
      <c r="H64" s="23" t="s">
        <v>166</v>
      </c>
      <c r="I64" s="160">
        <v>2</v>
      </c>
      <c r="K64" s="135"/>
      <c r="L64" s="23"/>
      <c r="M64" s="23"/>
      <c r="N64" s="160"/>
      <c r="P64" s="135"/>
      <c r="Q64" s="23"/>
      <c r="R64" s="23"/>
      <c r="S64" s="160"/>
    </row>
    <row r="65" spans="1:19" x14ac:dyDescent="0.3">
      <c r="A65" s="135">
        <v>70</v>
      </c>
      <c r="B65" s="23" t="s">
        <v>264</v>
      </c>
      <c r="C65" s="23" t="s">
        <v>161</v>
      </c>
      <c r="D65" s="160">
        <v>1</v>
      </c>
      <c r="F65" s="135">
        <v>124</v>
      </c>
      <c r="G65" s="23" t="s">
        <v>229</v>
      </c>
      <c r="H65" s="23" t="s">
        <v>190</v>
      </c>
      <c r="I65" s="160">
        <v>2</v>
      </c>
      <c r="K65" s="135"/>
      <c r="L65" s="23"/>
      <c r="M65" s="23"/>
      <c r="N65" s="160"/>
      <c r="P65" s="135"/>
      <c r="Q65" s="23"/>
      <c r="R65" s="23"/>
      <c r="S65" s="160"/>
    </row>
    <row r="66" spans="1:19" x14ac:dyDescent="0.3">
      <c r="A66" s="135">
        <v>71</v>
      </c>
      <c r="B66" s="23" t="s">
        <v>273</v>
      </c>
      <c r="C66" s="23" t="s">
        <v>151</v>
      </c>
      <c r="D66" s="160">
        <v>1</v>
      </c>
      <c r="F66" s="135">
        <v>124</v>
      </c>
      <c r="G66" s="23" t="s">
        <v>229</v>
      </c>
      <c r="H66" s="23" t="s">
        <v>174</v>
      </c>
      <c r="I66" s="160">
        <v>1</v>
      </c>
      <c r="K66" s="135"/>
      <c r="L66" s="23"/>
      <c r="M66" s="23"/>
      <c r="N66" s="160"/>
      <c r="P66" s="135"/>
      <c r="Q66" s="23"/>
      <c r="R66" s="23"/>
      <c r="S66" s="160"/>
    </row>
    <row r="67" spans="1:19" x14ac:dyDescent="0.3">
      <c r="A67" s="135">
        <v>71</v>
      </c>
      <c r="B67" s="23" t="s">
        <v>273</v>
      </c>
      <c r="C67" s="23" t="s">
        <v>160</v>
      </c>
      <c r="D67" s="160">
        <v>1</v>
      </c>
      <c r="F67" s="135">
        <v>124</v>
      </c>
      <c r="G67" s="23" t="s">
        <v>229</v>
      </c>
      <c r="H67" s="23" t="s">
        <v>179</v>
      </c>
      <c r="I67" s="160">
        <v>1</v>
      </c>
      <c r="K67" s="135"/>
      <c r="L67" s="23"/>
      <c r="M67" s="23"/>
      <c r="N67" s="160"/>
      <c r="P67" s="135"/>
      <c r="Q67" s="23"/>
      <c r="R67" s="23"/>
      <c r="S67" s="160"/>
    </row>
    <row r="68" spans="1:19" x14ac:dyDescent="0.3">
      <c r="A68" s="135">
        <v>72</v>
      </c>
      <c r="B68" s="23" t="s">
        <v>302</v>
      </c>
      <c r="C68" s="23" t="s">
        <v>161</v>
      </c>
      <c r="D68" s="160">
        <v>1</v>
      </c>
      <c r="F68" s="135">
        <v>124</v>
      </c>
      <c r="G68" s="23" t="s">
        <v>229</v>
      </c>
      <c r="H68" s="23" t="s">
        <v>165</v>
      </c>
      <c r="I68" s="160">
        <v>1</v>
      </c>
      <c r="K68" s="135"/>
      <c r="L68" s="23"/>
      <c r="M68" s="23"/>
      <c r="N68" s="160"/>
      <c r="P68" s="135"/>
      <c r="Q68" s="23"/>
      <c r="R68" s="23"/>
      <c r="S68" s="160"/>
    </row>
    <row r="69" spans="1:19" x14ac:dyDescent="0.3">
      <c r="A69" s="135">
        <v>77</v>
      </c>
      <c r="B69" s="23" t="s">
        <v>309</v>
      </c>
      <c r="C69" s="23" t="s">
        <v>151</v>
      </c>
      <c r="D69" s="160">
        <v>1</v>
      </c>
      <c r="F69" s="135">
        <v>124</v>
      </c>
      <c r="G69" s="23" t="s">
        <v>229</v>
      </c>
      <c r="H69" s="23" t="s">
        <v>161</v>
      </c>
      <c r="I69" s="160">
        <v>1</v>
      </c>
      <c r="K69" s="135"/>
      <c r="L69" s="23"/>
      <c r="M69" s="23"/>
      <c r="N69" s="160"/>
      <c r="P69" s="135"/>
      <c r="Q69" s="23"/>
      <c r="R69" s="23"/>
      <c r="S69" s="160"/>
    </row>
    <row r="70" spans="1:19" x14ac:dyDescent="0.3">
      <c r="A70" s="135">
        <v>85</v>
      </c>
      <c r="B70" s="23" t="s">
        <v>85</v>
      </c>
      <c r="C70" s="23" t="s">
        <v>206</v>
      </c>
      <c r="D70" s="160">
        <v>1</v>
      </c>
      <c r="F70" s="135">
        <v>128</v>
      </c>
      <c r="G70" s="23" t="s">
        <v>81</v>
      </c>
      <c r="H70" s="23" t="s">
        <v>166</v>
      </c>
      <c r="I70" s="160">
        <v>2</v>
      </c>
      <c r="K70" s="135"/>
      <c r="L70" s="23"/>
      <c r="M70" s="23"/>
      <c r="N70" s="160"/>
      <c r="P70" s="135"/>
      <c r="Q70" s="23"/>
      <c r="R70" s="23"/>
      <c r="S70" s="160"/>
    </row>
    <row r="71" spans="1:19" x14ac:dyDescent="0.3">
      <c r="A71" s="135">
        <v>95</v>
      </c>
      <c r="B71" s="23" t="s">
        <v>276</v>
      </c>
      <c r="C71" s="23" t="s">
        <v>148</v>
      </c>
      <c r="D71" s="160">
        <v>5</v>
      </c>
      <c r="F71" s="135">
        <v>128</v>
      </c>
      <c r="G71" s="23" t="s">
        <v>81</v>
      </c>
      <c r="H71" s="23" t="s">
        <v>154</v>
      </c>
      <c r="I71" s="160">
        <v>2</v>
      </c>
      <c r="K71" s="135"/>
      <c r="L71" s="23"/>
      <c r="M71" s="23"/>
      <c r="N71" s="160"/>
      <c r="P71" s="135"/>
      <c r="Q71" s="23"/>
      <c r="R71" s="23"/>
      <c r="S71" s="160"/>
    </row>
    <row r="72" spans="1:19" x14ac:dyDescent="0.3">
      <c r="A72" s="135">
        <v>95</v>
      </c>
      <c r="B72" s="23" t="s">
        <v>276</v>
      </c>
      <c r="C72" s="23" t="s">
        <v>155</v>
      </c>
      <c r="D72" s="160">
        <v>1</v>
      </c>
      <c r="F72" s="135">
        <v>128</v>
      </c>
      <c r="G72" s="23" t="s">
        <v>81</v>
      </c>
      <c r="H72" s="23" t="s">
        <v>153</v>
      </c>
      <c r="I72" s="160">
        <v>1</v>
      </c>
      <c r="K72" s="135"/>
      <c r="L72" s="23"/>
      <c r="M72" s="23"/>
      <c r="N72" s="160"/>
      <c r="P72" s="135"/>
      <c r="Q72" s="23"/>
      <c r="R72" s="23"/>
      <c r="S72" s="160"/>
    </row>
    <row r="73" spans="1:19" x14ac:dyDescent="0.3">
      <c r="A73" s="135">
        <v>95</v>
      </c>
      <c r="B73" s="23" t="s">
        <v>276</v>
      </c>
      <c r="C73" s="23" t="s">
        <v>158</v>
      </c>
      <c r="D73" s="160">
        <v>1</v>
      </c>
      <c r="F73" s="135">
        <v>128</v>
      </c>
      <c r="G73" s="23" t="s">
        <v>81</v>
      </c>
      <c r="H73" s="23" t="s">
        <v>149</v>
      </c>
      <c r="I73" s="160">
        <v>1</v>
      </c>
      <c r="K73" s="135"/>
      <c r="L73" s="23"/>
      <c r="M73" s="23"/>
      <c r="N73" s="160"/>
      <c r="P73" s="135"/>
      <c r="Q73" s="23"/>
      <c r="R73" s="23"/>
      <c r="S73" s="160"/>
    </row>
    <row r="74" spans="1:19" x14ac:dyDescent="0.3">
      <c r="A74" s="135">
        <v>95</v>
      </c>
      <c r="B74" s="23" t="s">
        <v>276</v>
      </c>
      <c r="C74" s="23" t="s">
        <v>168</v>
      </c>
      <c r="D74" s="160">
        <v>1</v>
      </c>
      <c r="F74" s="135">
        <v>128</v>
      </c>
      <c r="G74" s="23" t="s">
        <v>81</v>
      </c>
      <c r="H74" s="23" t="s">
        <v>150</v>
      </c>
      <c r="I74" s="160">
        <v>1</v>
      </c>
      <c r="K74" s="135"/>
      <c r="L74" s="23"/>
      <c r="M74" s="23"/>
      <c r="N74" s="160"/>
      <c r="P74" s="135"/>
      <c r="Q74" s="23"/>
      <c r="R74" s="23"/>
      <c r="S74" s="160"/>
    </row>
    <row r="75" spans="1:19" x14ac:dyDescent="0.3">
      <c r="A75" s="135">
        <v>95</v>
      </c>
      <c r="B75" s="23" t="s">
        <v>276</v>
      </c>
      <c r="C75" s="23" t="s">
        <v>153</v>
      </c>
      <c r="D75" s="160">
        <v>1</v>
      </c>
      <c r="F75" s="135">
        <v>139</v>
      </c>
      <c r="G75" s="23" t="s">
        <v>113</v>
      </c>
      <c r="H75" s="23" t="s">
        <v>150</v>
      </c>
      <c r="I75" s="160">
        <v>4</v>
      </c>
      <c r="K75" s="135"/>
      <c r="L75" s="23"/>
      <c r="M75" s="23"/>
      <c r="N75" s="160"/>
      <c r="P75" s="135"/>
      <c r="Q75" s="23"/>
      <c r="R75" s="23"/>
      <c r="S75" s="160"/>
    </row>
    <row r="76" spans="1:19" x14ac:dyDescent="0.3">
      <c r="A76" s="135">
        <v>95</v>
      </c>
      <c r="B76" s="23" t="s">
        <v>276</v>
      </c>
      <c r="C76" s="23" t="s">
        <v>149</v>
      </c>
      <c r="D76" s="160">
        <v>1</v>
      </c>
      <c r="F76" s="135">
        <v>139</v>
      </c>
      <c r="G76" s="23" t="s">
        <v>113</v>
      </c>
      <c r="H76" s="23" t="s">
        <v>171</v>
      </c>
      <c r="I76" s="160">
        <v>1</v>
      </c>
      <c r="K76" s="135"/>
      <c r="L76" s="23"/>
      <c r="M76" s="23"/>
      <c r="N76" s="160"/>
      <c r="P76" s="135"/>
      <c r="Q76" s="23"/>
      <c r="R76" s="23"/>
      <c r="S76" s="160"/>
    </row>
    <row r="77" spans="1:19" x14ac:dyDescent="0.3">
      <c r="A77" s="135">
        <v>98</v>
      </c>
      <c r="B77" s="23" t="s">
        <v>240</v>
      </c>
      <c r="C77" s="23" t="s">
        <v>171</v>
      </c>
      <c r="D77" s="160">
        <v>3</v>
      </c>
      <c r="F77" s="135">
        <v>139</v>
      </c>
      <c r="G77" s="23" t="s">
        <v>113</v>
      </c>
      <c r="H77" s="23" t="s">
        <v>164</v>
      </c>
      <c r="I77" s="160">
        <v>1</v>
      </c>
      <c r="K77" s="135"/>
      <c r="L77" s="23"/>
      <c r="M77" s="23"/>
      <c r="N77" s="160"/>
      <c r="P77" s="135"/>
      <c r="Q77" s="23"/>
      <c r="R77" s="23"/>
      <c r="S77" s="160"/>
    </row>
    <row r="78" spans="1:19" x14ac:dyDescent="0.3">
      <c r="A78" s="135">
        <v>98</v>
      </c>
      <c r="B78" s="23" t="s">
        <v>240</v>
      </c>
      <c r="C78" s="23" t="s">
        <v>149</v>
      </c>
      <c r="D78" s="160">
        <v>2</v>
      </c>
      <c r="F78" s="135">
        <v>151</v>
      </c>
      <c r="G78" s="23" t="s">
        <v>280</v>
      </c>
      <c r="H78" s="23" t="s">
        <v>152</v>
      </c>
      <c r="I78" s="160">
        <v>1</v>
      </c>
      <c r="K78" s="135"/>
      <c r="L78" s="23"/>
      <c r="M78" s="23"/>
      <c r="N78" s="160"/>
      <c r="P78" s="135"/>
      <c r="Q78" s="23"/>
      <c r="R78" s="23"/>
      <c r="S78" s="160"/>
    </row>
    <row r="79" spans="1:19" x14ac:dyDescent="0.3">
      <c r="A79" s="135">
        <v>98</v>
      </c>
      <c r="B79" s="23" t="s">
        <v>240</v>
      </c>
      <c r="C79" s="23" t="s">
        <v>181</v>
      </c>
      <c r="D79" s="160">
        <v>1</v>
      </c>
      <c r="F79" s="135">
        <v>151</v>
      </c>
      <c r="G79" s="23" t="s">
        <v>280</v>
      </c>
      <c r="H79" s="23" t="s">
        <v>153</v>
      </c>
      <c r="I79" s="160">
        <v>1</v>
      </c>
      <c r="K79" s="135"/>
      <c r="L79" s="23"/>
      <c r="M79" s="23"/>
      <c r="N79" s="160"/>
      <c r="P79" s="135"/>
      <c r="Q79" s="23"/>
      <c r="R79" s="23"/>
      <c r="S79" s="160"/>
    </row>
    <row r="80" spans="1:19" x14ac:dyDescent="0.3">
      <c r="A80" s="135">
        <v>98</v>
      </c>
      <c r="B80" s="23" t="s">
        <v>240</v>
      </c>
      <c r="C80" s="23" t="s">
        <v>159</v>
      </c>
      <c r="D80" s="160">
        <v>1</v>
      </c>
      <c r="F80" s="135">
        <v>151</v>
      </c>
      <c r="G80" s="23" t="s">
        <v>280</v>
      </c>
      <c r="H80" s="23" t="s">
        <v>157</v>
      </c>
      <c r="I80" s="160">
        <v>1</v>
      </c>
      <c r="K80" s="135"/>
      <c r="L80" s="23"/>
      <c r="M80" s="23"/>
      <c r="N80" s="160"/>
      <c r="P80" s="135"/>
      <c r="Q80" s="23"/>
      <c r="R80" s="23"/>
      <c r="S80" s="160"/>
    </row>
    <row r="81" spans="1:19" x14ac:dyDescent="0.3">
      <c r="A81" s="135">
        <v>98</v>
      </c>
      <c r="B81" s="23" t="s">
        <v>240</v>
      </c>
      <c r="C81" s="23" t="s">
        <v>152</v>
      </c>
      <c r="D81" s="160">
        <v>1</v>
      </c>
      <c r="F81" s="135">
        <v>155</v>
      </c>
      <c r="G81" s="23" t="s">
        <v>111</v>
      </c>
      <c r="H81" s="23" t="s">
        <v>148</v>
      </c>
      <c r="I81" s="160">
        <v>1</v>
      </c>
      <c r="K81" s="135"/>
      <c r="L81" s="23"/>
      <c r="M81" s="23"/>
      <c r="N81" s="160"/>
      <c r="P81" s="135"/>
      <c r="Q81" s="23"/>
      <c r="R81" s="23"/>
      <c r="S81" s="160"/>
    </row>
    <row r="82" spans="1:19" x14ac:dyDescent="0.3">
      <c r="A82" s="135">
        <v>98</v>
      </c>
      <c r="B82" s="23" t="s">
        <v>240</v>
      </c>
      <c r="C82" s="23" t="s">
        <v>151</v>
      </c>
      <c r="D82" s="160">
        <v>1</v>
      </c>
      <c r="F82" s="135">
        <v>155</v>
      </c>
      <c r="G82" s="23" t="s">
        <v>111</v>
      </c>
      <c r="H82" s="23" t="s">
        <v>160</v>
      </c>
      <c r="I82" s="160">
        <v>1</v>
      </c>
      <c r="K82" s="135"/>
      <c r="L82" s="23"/>
      <c r="M82" s="23"/>
      <c r="N82" s="160"/>
      <c r="P82" s="135"/>
      <c r="Q82" s="23"/>
      <c r="R82" s="23"/>
      <c r="S82" s="160"/>
    </row>
    <row r="83" spans="1:19" x14ac:dyDescent="0.3">
      <c r="A83" s="135">
        <v>102</v>
      </c>
      <c r="B83" s="23" t="s">
        <v>258</v>
      </c>
      <c r="C83" s="23" t="s">
        <v>149</v>
      </c>
      <c r="D83" s="160">
        <v>5</v>
      </c>
      <c r="F83" s="135">
        <v>155</v>
      </c>
      <c r="G83" s="23" t="s">
        <v>111</v>
      </c>
      <c r="H83" s="23" t="s">
        <v>178</v>
      </c>
      <c r="I83" s="160">
        <v>1</v>
      </c>
      <c r="K83" s="135"/>
      <c r="L83" s="23"/>
      <c r="M83" s="23"/>
      <c r="N83" s="160"/>
      <c r="P83" s="135"/>
      <c r="Q83" s="23"/>
      <c r="R83" s="23"/>
      <c r="S83" s="160"/>
    </row>
    <row r="84" spans="1:19" x14ac:dyDescent="0.3">
      <c r="A84" s="135">
        <v>102</v>
      </c>
      <c r="B84" s="23" t="s">
        <v>258</v>
      </c>
      <c r="C84" s="23" t="s">
        <v>148</v>
      </c>
      <c r="D84" s="160">
        <v>2</v>
      </c>
      <c r="F84" s="135">
        <v>177</v>
      </c>
      <c r="G84" s="23" t="s">
        <v>288</v>
      </c>
      <c r="H84" s="23" t="s">
        <v>148</v>
      </c>
      <c r="I84" s="160">
        <v>1</v>
      </c>
      <c r="K84" s="135"/>
      <c r="L84" s="23"/>
      <c r="M84" s="23"/>
      <c r="N84" s="160"/>
      <c r="P84" s="135"/>
      <c r="Q84" s="23"/>
      <c r="R84" s="23"/>
      <c r="S84" s="160"/>
    </row>
    <row r="85" spans="1:19" x14ac:dyDescent="0.3">
      <c r="A85" s="135">
        <v>102</v>
      </c>
      <c r="B85" s="23" t="s">
        <v>258</v>
      </c>
      <c r="C85" s="23" t="s">
        <v>159</v>
      </c>
      <c r="D85" s="160">
        <v>1</v>
      </c>
      <c r="F85" s="135">
        <v>177</v>
      </c>
      <c r="G85" s="23" t="s">
        <v>288</v>
      </c>
      <c r="H85" s="23" t="s">
        <v>150</v>
      </c>
      <c r="I85" s="160">
        <v>1</v>
      </c>
      <c r="K85" s="135"/>
      <c r="L85" s="23"/>
      <c r="M85" s="23"/>
      <c r="N85" s="160"/>
      <c r="P85" s="135"/>
      <c r="Q85" s="23"/>
      <c r="R85" s="23"/>
      <c r="S85" s="160"/>
    </row>
    <row r="86" spans="1:19" x14ac:dyDescent="0.3">
      <c r="A86" s="135">
        <v>102</v>
      </c>
      <c r="B86" s="23" t="s">
        <v>258</v>
      </c>
      <c r="C86" s="23" t="s">
        <v>163</v>
      </c>
      <c r="D86" s="160">
        <v>1</v>
      </c>
      <c r="F86" s="135">
        <v>196</v>
      </c>
      <c r="G86" s="23" t="s">
        <v>250</v>
      </c>
      <c r="H86" s="23" t="s">
        <v>149</v>
      </c>
      <c r="I86" s="160">
        <v>3</v>
      </c>
      <c r="K86" s="135"/>
      <c r="L86" s="23"/>
      <c r="M86" s="23"/>
      <c r="N86" s="160"/>
      <c r="P86" s="135"/>
      <c r="Q86" s="23"/>
      <c r="R86" s="23"/>
      <c r="S86" s="160"/>
    </row>
    <row r="87" spans="1:19" x14ac:dyDescent="0.3">
      <c r="A87" s="135">
        <v>102</v>
      </c>
      <c r="B87" s="23" t="s">
        <v>258</v>
      </c>
      <c r="C87" s="23" t="s">
        <v>161</v>
      </c>
      <c r="D87" s="160">
        <v>1</v>
      </c>
      <c r="F87" s="135">
        <v>196</v>
      </c>
      <c r="G87" s="23" t="s">
        <v>250</v>
      </c>
      <c r="H87" s="23" t="s">
        <v>173</v>
      </c>
      <c r="I87" s="160">
        <v>1</v>
      </c>
      <c r="K87" s="135"/>
      <c r="L87" s="23"/>
      <c r="M87" s="23"/>
      <c r="N87" s="160"/>
      <c r="P87" s="135"/>
      <c r="Q87" s="23"/>
      <c r="R87" s="23"/>
      <c r="S87" s="160"/>
    </row>
    <row r="88" spans="1:19" x14ac:dyDescent="0.3">
      <c r="A88" s="135">
        <v>108</v>
      </c>
      <c r="B88" s="23" t="s">
        <v>263</v>
      </c>
      <c r="C88" s="23" t="s">
        <v>148</v>
      </c>
      <c r="D88" s="160">
        <v>3</v>
      </c>
      <c r="F88" s="135">
        <v>199</v>
      </c>
      <c r="G88" s="23" t="s">
        <v>265</v>
      </c>
      <c r="H88" s="23" t="s">
        <v>150</v>
      </c>
      <c r="I88" s="160">
        <v>2</v>
      </c>
      <c r="K88" s="135"/>
      <c r="L88" s="23"/>
      <c r="M88" s="23"/>
      <c r="N88" s="160"/>
      <c r="P88" s="135"/>
      <c r="Q88" s="23"/>
      <c r="R88" s="23"/>
      <c r="S88" s="160"/>
    </row>
    <row r="89" spans="1:19" x14ac:dyDescent="0.3">
      <c r="A89" s="135">
        <v>117</v>
      </c>
      <c r="B89" s="23" t="s">
        <v>218</v>
      </c>
      <c r="C89" s="23" t="s">
        <v>149</v>
      </c>
      <c r="D89" s="160">
        <v>4</v>
      </c>
      <c r="F89" s="135">
        <v>199</v>
      </c>
      <c r="G89" s="23" t="s">
        <v>265</v>
      </c>
      <c r="H89" s="23" t="s">
        <v>169</v>
      </c>
      <c r="I89" s="160">
        <v>1</v>
      </c>
      <c r="K89" s="135"/>
      <c r="L89" s="23"/>
      <c r="M89" s="23"/>
      <c r="N89" s="160"/>
      <c r="P89" s="135"/>
      <c r="Q89" s="23"/>
      <c r="R89" s="23"/>
      <c r="S89" s="160"/>
    </row>
    <row r="90" spans="1:19" x14ac:dyDescent="0.3">
      <c r="A90" s="135">
        <v>117</v>
      </c>
      <c r="B90" s="23" t="s">
        <v>218</v>
      </c>
      <c r="C90" s="23" t="s">
        <v>152</v>
      </c>
      <c r="D90" s="160">
        <v>3</v>
      </c>
      <c r="F90" s="135">
        <v>199</v>
      </c>
      <c r="G90" s="23" t="s">
        <v>265</v>
      </c>
      <c r="H90" s="23" t="s">
        <v>152</v>
      </c>
      <c r="I90" s="160">
        <v>1</v>
      </c>
      <c r="K90" s="135"/>
      <c r="L90" s="23"/>
      <c r="M90" s="23"/>
      <c r="N90" s="160"/>
      <c r="P90" s="135"/>
      <c r="Q90" s="23"/>
      <c r="R90" s="23"/>
      <c r="S90" s="160"/>
    </row>
    <row r="91" spans="1:19" x14ac:dyDescent="0.3">
      <c r="A91" s="135">
        <v>117</v>
      </c>
      <c r="B91" s="23" t="s">
        <v>218</v>
      </c>
      <c r="C91" s="23" t="s">
        <v>155</v>
      </c>
      <c r="D91" s="160">
        <v>3</v>
      </c>
      <c r="F91" s="135">
        <v>199</v>
      </c>
      <c r="G91" s="23" t="s">
        <v>265</v>
      </c>
      <c r="H91" s="23" t="s">
        <v>148</v>
      </c>
      <c r="I91" s="160">
        <v>1</v>
      </c>
      <c r="K91" s="135"/>
      <c r="L91" s="23"/>
      <c r="M91" s="23"/>
      <c r="N91" s="160"/>
      <c r="P91" s="135"/>
      <c r="Q91" s="23"/>
      <c r="R91" s="23"/>
      <c r="S91" s="160"/>
    </row>
    <row r="92" spans="1:19" x14ac:dyDescent="0.3">
      <c r="A92" s="135">
        <v>117</v>
      </c>
      <c r="B92" s="23" t="s">
        <v>218</v>
      </c>
      <c r="C92" s="23" t="s">
        <v>148</v>
      </c>
      <c r="D92" s="160">
        <v>3</v>
      </c>
      <c r="F92" s="135">
        <v>209</v>
      </c>
      <c r="G92" s="23" t="s">
        <v>297</v>
      </c>
      <c r="H92" s="23" t="s">
        <v>157</v>
      </c>
      <c r="I92" s="160">
        <v>1</v>
      </c>
      <c r="K92" s="135"/>
      <c r="L92" s="23"/>
      <c r="M92" s="23"/>
      <c r="N92" s="160"/>
      <c r="P92" s="135"/>
      <c r="Q92" s="23"/>
      <c r="R92" s="23"/>
      <c r="S92" s="160"/>
    </row>
    <row r="93" spans="1:19" x14ac:dyDescent="0.3">
      <c r="A93" s="135">
        <v>117</v>
      </c>
      <c r="B93" s="23" t="s">
        <v>218</v>
      </c>
      <c r="C93" s="23" t="s">
        <v>159</v>
      </c>
      <c r="D93" s="160">
        <v>2</v>
      </c>
      <c r="F93" s="135">
        <v>213</v>
      </c>
      <c r="G93" s="23" t="s">
        <v>271</v>
      </c>
      <c r="H93" s="23" t="s">
        <v>150</v>
      </c>
      <c r="I93" s="160">
        <v>1</v>
      </c>
      <c r="K93" s="135"/>
      <c r="L93" s="23"/>
      <c r="M93" s="23"/>
      <c r="N93" s="160"/>
      <c r="P93" s="135"/>
      <c r="Q93" s="23"/>
      <c r="R93" s="23"/>
      <c r="S93" s="160"/>
    </row>
    <row r="94" spans="1:19" x14ac:dyDescent="0.3">
      <c r="A94" s="135">
        <v>117</v>
      </c>
      <c r="B94" s="23" t="s">
        <v>218</v>
      </c>
      <c r="C94" s="23" t="s">
        <v>162</v>
      </c>
      <c r="D94" s="160">
        <v>2</v>
      </c>
      <c r="F94" s="135">
        <v>214</v>
      </c>
      <c r="G94" s="23" t="s">
        <v>299</v>
      </c>
      <c r="H94" s="23" t="s">
        <v>148</v>
      </c>
      <c r="I94" s="160">
        <v>1</v>
      </c>
      <c r="K94" s="135"/>
      <c r="L94" s="23"/>
      <c r="M94" s="23"/>
      <c r="N94" s="160"/>
      <c r="P94" s="135"/>
      <c r="Q94" s="23"/>
      <c r="R94" s="23"/>
      <c r="S94" s="160"/>
    </row>
    <row r="95" spans="1:19" x14ac:dyDescent="0.3">
      <c r="A95" s="135">
        <v>117</v>
      </c>
      <c r="B95" s="23" t="s">
        <v>218</v>
      </c>
      <c r="C95" s="23" t="s">
        <v>151</v>
      </c>
      <c r="D95" s="160">
        <v>1</v>
      </c>
      <c r="F95" s="135">
        <v>214</v>
      </c>
      <c r="G95" s="23" t="s">
        <v>299</v>
      </c>
      <c r="H95" s="23" t="s">
        <v>154</v>
      </c>
      <c r="I95" s="160">
        <v>1</v>
      </c>
      <c r="K95" s="135"/>
      <c r="L95" s="23"/>
      <c r="M95" s="23"/>
      <c r="N95" s="160"/>
      <c r="P95" s="135"/>
      <c r="Q95" s="23"/>
      <c r="R95" s="23"/>
      <c r="S95" s="160"/>
    </row>
    <row r="96" spans="1:19" x14ac:dyDescent="0.3">
      <c r="A96" s="135">
        <v>117</v>
      </c>
      <c r="B96" s="23" t="s">
        <v>218</v>
      </c>
      <c r="C96" s="23" t="s">
        <v>168</v>
      </c>
      <c r="D96" s="160">
        <v>1</v>
      </c>
      <c r="F96" s="135">
        <v>214</v>
      </c>
      <c r="G96" s="23" t="s">
        <v>299</v>
      </c>
      <c r="H96" s="23" t="s">
        <v>153</v>
      </c>
      <c r="I96" s="160">
        <v>1</v>
      </c>
      <c r="K96" s="135"/>
      <c r="L96" s="23"/>
      <c r="M96" s="23"/>
      <c r="N96" s="160"/>
      <c r="P96" s="135"/>
      <c r="Q96" s="23"/>
      <c r="R96" s="23"/>
      <c r="S96" s="160"/>
    </row>
    <row r="97" spans="1:19" x14ac:dyDescent="0.3">
      <c r="A97" s="135">
        <v>117</v>
      </c>
      <c r="B97" s="23" t="s">
        <v>218</v>
      </c>
      <c r="C97" s="23" t="s">
        <v>167</v>
      </c>
      <c r="D97" s="160">
        <v>1</v>
      </c>
      <c r="F97" s="135">
        <v>226</v>
      </c>
      <c r="G97" s="23" t="s">
        <v>285</v>
      </c>
      <c r="H97" s="23" t="s">
        <v>151</v>
      </c>
      <c r="I97" s="160">
        <v>1</v>
      </c>
      <c r="K97" s="135"/>
      <c r="L97" s="23"/>
      <c r="M97" s="23"/>
      <c r="N97" s="160"/>
      <c r="P97" s="135"/>
      <c r="Q97" s="23"/>
      <c r="R97" s="23"/>
      <c r="S97" s="160"/>
    </row>
    <row r="98" spans="1:19" x14ac:dyDescent="0.3">
      <c r="A98" s="135">
        <v>117</v>
      </c>
      <c r="B98" s="23" t="s">
        <v>218</v>
      </c>
      <c r="C98" s="23" t="s">
        <v>169</v>
      </c>
      <c r="D98" s="160">
        <v>1</v>
      </c>
      <c r="F98" s="135">
        <v>226</v>
      </c>
      <c r="G98" s="23" t="s">
        <v>285</v>
      </c>
      <c r="H98" s="23" t="s">
        <v>207</v>
      </c>
      <c r="I98" s="160">
        <v>1</v>
      </c>
      <c r="K98" s="135"/>
      <c r="L98" s="23"/>
      <c r="M98" s="23"/>
      <c r="N98" s="160"/>
      <c r="P98" s="135"/>
      <c r="Q98" s="23"/>
      <c r="R98" s="23"/>
      <c r="S98" s="160"/>
    </row>
    <row r="99" spans="1:19" x14ac:dyDescent="0.3">
      <c r="A99" s="135">
        <v>137</v>
      </c>
      <c r="B99" s="23" t="s">
        <v>228</v>
      </c>
      <c r="C99" s="23" t="s">
        <v>149</v>
      </c>
      <c r="D99" s="160">
        <v>2</v>
      </c>
      <c r="F99" s="135">
        <v>229</v>
      </c>
      <c r="G99" s="23" t="s">
        <v>295</v>
      </c>
      <c r="H99" s="23" t="s">
        <v>148</v>
      </c>
      <c r="I99" s="160">
        <v>4</v>
      </c>
      <c r="K99" s="135"/>
      <c r="L99" s="23"/>
      <c r="M99" s="23"/>
      <c r="N99" s="160"/>
      <c r="P99" s="135"/>
      <c r="Q99" s="23"/>
      <c r="R99" s="23"/>
      <c r="S99" s="160"/>
    </row>
    <row r="100" spans="1:19" x14ac:dyDescent="0.3">
      <c r="A100" s="135">
        <v>137</v>
      </c>
      <c r="B100" s="23" t="s">
        <v>228</v>
      </c>
      <c r="C100" s="23" t="s">
        <v>151</v>
      </c>
      <c r="D100" s="160">
        <v>2</v>
      </c>
      <c r="F100" s="135">
        <v>229</v>
      </c>
      <c r="G100" s="23" t="s">
        <v>295</v>
      </c>
      <c r="H100" s="23" t="s">
        <v>153</v>
      </c>
      <c r="I100" s="160">
        <v>1</v>
      </c>
      <c r="K100" s="135"/>
      <c r="L100" s="23"/>
      <c r="M100" s="23"/>
      <c r="N100" s="160"/>
      <c r="P100" s="135"/>
      <c r="Q100" s="23"/>
      <c r="R100" s="23"/>
      <c r="S100" s="160"/>
    </row>
    <row r="101" spans="1:19" x14ac:dyDescent="0.3">
      <c r="A101" s="135">
        <v>137</v>
      </c>
      <c r="B101" s="23" t="s">
        <v>228</v>
      </c>
      <c r="C101" s="23" t="s">
        <v>150</v>
      </c>
      <c r="D101" s="160">
        <v>1</v>
      </c>
      <c r="F101" s="135">
        <v>229</v>
      </c>
      <c r="G101" s="23" t="s">
        <v>295</v>
      </c>
      <c r="H101" s="23" t="s">
        <v>149</v>
      </c>
      <c r="I101" s="160">
        <v>1</v>
      </c>
      <c r="K101" s="135"/>
      <c r="L101" s="23"/>
      <c r="M101" s="23"/>
      <c r="N101" s="160"/>
      <c r="P101" s="135"/>
      <c r="Q101" s="23"/>
      <c r="R101" s="23"/>
      <c r="S101" s="160"/>
    </row>
    <row r="102" spans="1:19" x14ac:dyDescent="0.3">
      <c r="A102" s="135">
        <v>154</v>
      </c>
      <c r="B102" s="23" t="s">
        <v>294</v>
      </c>
      <c r="C102" s="23" t="s">
        <v>150</v>
      </c>
      <c r="D102" s="160">
        <v>3</v>
      </c>
      <c r="F102" s="135">
        <v>229</v>
      </c>
      <c r="G102" s="23" t="s">
        <v>295</v>
      </c>
      <c r="H102" s="23" t="s">
        <v>185</v>
      </c>
      <c r="I102" s="160">
        <v>1</v>
      </c>
      <c r="K102" s="135"/>
      <c r="L102" s="23"/>
      <c r="M102" s="23"/>
      <c r="N102" s="160"/>
      <c r="P102" s="135"/>
      <c r="Q102" s="23"/>
      <c r="R102" s="23"/>
      <c r="S102" s="160"/>
    </row>
    <row r="103" spans="1:19" x14ac:dyDescent="0.3">
      <c r="A103" s="135">
        <v>154</v>
      </c>
      <c r="B103" s="23" t="s">
        <v>294</v>
      </c>
      <c r="C103" s="23" t="s">
        <v>160</v>
      </c>
      <c r="D103" s="160">
        <v>1</v>
      </c>
      <c r="F103" s="135">
        <v>244</v>
      </c>
      <c r="G103" s="23" t="s">
        <v>292</v>
      </c>
      <c r="H103" s="23" t="s">
        <v>154</v>
      </c>
      <c r="I103" s="160">
        <v>1</v>
      </c>
      <c r="K103" s="135"/>
      <c r="L103" s="23"/>
      <c r="M103" s="23"/>
      <c r="N103" s="160"/>
      <c r="P103" s="135"/>
      <c r="Q103" s="23"/>
      <c r="R103" s="23"/>
      <c r="S103" s="160"/>
    </row>
    <row r="104" spans="1:19" x14ac:dyDescent="0.3">
      <c r="A104" s="135">
        <v>154</v>
      </c>
      <c r="B104" s="23" t="s">
        <v>294</v>
      </c>
      <c r="C104" s="23" t="s">
        <v>148</v>
      </c>
      <c r="D104" s="160">
        <v>1</v>
      </c>
      <c r="F104" s="135">
        <v>246</v>
      </c>
      <c r="G104" s="23" t="s">
        <v>145</v>
      </c>
      <c r="H104" s="23" t="s">
        <v>160</v>
      </c>
      <c r="I104" s="160">
        <v>1</v>
      </c>
      <c r="K104" s="135"/>
      <c r="L104" s="23"/>
      <c r="M104" s="23"/>
      <c r="N104" s="160"/>
      <c r="P104" s="135"/>
      <c r="Q104" s="23"/>
      <c r="R104" s="23"/>
      <c r="S104" s="160"/>
    </row>
    <row r="105" spans="1:19" x14ac:dyDescent="0.3">
      <c r="A105" s="135">
        <v>158</v>
      </c>
      <c r="B105" s="23" t="s">
        <v>247</v>
      </c>
      <c r="C105" s="23" t="s">
        <v>154</v>
      </c>
      <c r="D105" s="160">
        <v>5</v>
      </c>
      <c r="F105" s="135">
        <v>258</v>
      </c>
      <c r="G105" s="23" t="s">
        <v>230</v>
      </c>
      <c r="H105" s="23" t="s">
        <v>178</v>
      </c>
      <c r="I105" s="160">
        <v>2</v>
      </c>
      <c r="K105" s="135"/>
      <c r="L105" s="23"/>
      <c r="M105" s="23"/>
      <c r="N105" s="160"/>
      <c r="P105" s="135"/>
      <c r="Q105" s="23"/>
      <c r="R105" s="23"/>
      <c r="S105" s="160"/>
    </row>
    <row r="106" spans="1:19" x14ac:dyDescent="0.3">
      <c r="A106" s="135">
        <v>158</v>
      </c>
      <c r="B106" s="23" t="s">
        <v>247</v>
      </c>
      <c r="C106" s="23" t="s">
        <v>152</v>
      </c>
      <c r="D106" s="160">
        <v>4</v>
      </c>
      <c r="F106" s="135">
        <v>258</v>
      </c>
      <c r="G106" s="23" t="s">
        <v>230</v>
      </c>
      <c r="H106" s="23" t="s">
        <v>148</v>
      </c>
      <c r="I106" s="160">
        <v>2</v>
      </c>
      <c r="K106" s="135"/>
      <c r="L106" s="23"/>
      <c r="M106" s="23"/>
      <c r="N106" s="160"/>
      <c r="P106" s="135"/>
      <c r="Q106" s="23"/>
      <c r="R106" s="23"/>
      <c r="S106" s="160"/>
    </row>
    <row r="107" spans="1:19" x14ac:dyDescent="0.3">
      <c r="A107" s="135">
        <v>158</v>
      </c>
      <c r="B107" s="23" t="s">
        <v>247</v>
      </c>
      <c r="C107" s="23" t="s">
        <v>149</v>
      </c>
      <c r="D107" s="160">
        <v>4</v>
      </c>
      <c r="F107" s="135">
        <v>258</v>
      </c>
      <c r="G107" s="23" t="s">
        <v>230</v>
      </c>
      <c r="H107" s="23" t="s">
        <v>149</v>
      </c>
      <c r="I107" s="160">
        <v>1</v>
      </c>
      <c r="K107" s="135"/>
      <c r="L107" s="23"/>
      <c r="M107" s="23"/>
      <c r="N107" s="160"/>
      <c r="P107" s="135"/>
      <c r="Q107" s="23"/>
      <c r="R107" s="23"/>
      <c r="S107" s="160"/>
    </row>
    <row r="108" spans="1:19" x14ac:dyDescent="0.3">
      <c r="A108" s="135">
        <v>158</v>
      </c>
      <c r="B108" s="23" t="s">
        <v>247</v>
      </c>
      <c r="C108" s="23" t="s">
        <v>148</v>
      </c>
      <c r="D108" s="160">
        <v>2</v>
      </c>
      <c r="F108" s="135">
        <v>258</v>
      </c>
      <c r="G108" s="23" t="s">
        <v>230</v>
      </c>
      <c r="H108" s="23" t="s">
        <v>151</v>
      </c>
      <c r="I108" s="160">
        <v>1</v>
      </c>
      <c r="K108" s="135"/>
      <c r="L108" s="23"/>
      <c r="M108" s="23"/>
      <c r="N108" s="160"/>
      <c r="P108" s="135"/>
      <c r="Q108" s="23"/>
      <c r="R108" s="23"/>
      <c r="S108" s="160"/>
    </row>
    <row r="109" spans="1:19" x14ac:dyDescent="0.3">
      <c r="A109" s="135">
        <v>158</v>
      </c>
      <c r="B109" s="23" t="s">
        <v>247</v>
      </c>
      <c r="C109" s="23" t="s">
        <v>158</v>
      </c>
      <c r="D109" s="160">
        <v>2</v>
      </c>
      <c r="F109" s="135">
        <v>263</v>
      </c>
      <c r="G109" s="23" t="s">
        <v>115</v>
      </c>
      <c r="H109" s="23" t="s">
        <v>150</v>
      </c>
      <c r="I109" s="160">
        <v>4</v>
      </c>
      <c r="K109" s="135"/>
      <c r="L109" s="23"/>
      <c r="M109" s="23"/>
      <c r="N109" s="160"/>
      <c r="P109" s="135"/>
      <c r="Q109" s="23"/>
      <c r="R109" s="23"/>
      <c r="S109" s="160"/>
    </row>
    <row r="110" spans="1:19" x14ac:dyDescent="0.3">
      <c r="A110" s="135">
        <v>158</v>
      </c>
      <c r="B110" s="23" t="s">
        <v>247</v>
      </c>
      <c r="C110" s="23" t="s">
        <v>155</v>
      </c>
      <c r="D110" s="160">
        <v>1</v>
      </c>
      <c r="F110" s="135">
        <v>263</v>
      </c>
      <c r="G110" s="23" t="s">
        <v>115</v>
      </c>
      <c r="H110" s="23" t="s">
        <v>180</v>
      </c>
      <c r="I110" s="160">
        <v>3</v>
      </c>
      <c r="K110" s="135"/>
      <c r="L110" s="23"/>
      <c r="M110" s="23"/>
      <c r="N110" s="160"/>
      <c r="P110" s="135"/>
      <c r="Q110" s="23"/>
      <c r="R110" s="23"/>
      <c r="S110" s="160"/>
    </row>
    <row r="111" spans="1:19" x14ac:dyDescent="0.3">
      <c r="A111" s="135">
        <v>158</v>
      </c>
      <c r="B111" s="23" t="s">
        <v>247</v>
      </c>
      <c r="C111" s="23" t="s">
        <v>164</v>
      </c>
      <c r="D111" s="160">
        <v>1</v>
      </c>
      <c r="F111" s="135">
        <v>263</v>
      </c>
      <c r="G111" s="23" t="s">
        <v>115</v>
      </c>
      <c r="H111" s="23" t="s">
        <v>156</v>
      </c>
      <c r="I111" s="160">
        <v>2</v>
      </c>
      <c r="K111" s="135"/>
      <c r="L111" s="23"/>
      <c r="M111" s="23"/>
      <c r="N111" s="160"/>
      <c r="P111" s="135"/>
      <c r="Q111" s="23"/>
      <c r="R111" s="23"/>
      <c r="S111" s="160"/>
    </row>
    <row r="112" spans="1:19" x14ac:dyDescent="0.3">
      <c r="A112" s="135">
        <v>158</v>
      </c>
      <c r="B112" s="23" t="s">
        <v>247</v>
      </c>
      <c r="C112" s="23" t="s">
        <v>153</v>
      </c>
      <c r="D112" s="160">
        <v>1</v>
      </c>
      <c r="F112" s="135">
        <v>263</v>
      </c>
      <c r="G112" s="23" t="s">
        <v>115</v>
      </c>
      <c r="H112" s="23" t="s">
        <v>205</v>
      </c>
      <c r="I112" s="160">
        <v>1</v>
      </c>
      <c r="K112" s="135"/>
      <c r="L112" s="23"/>
      <c r="M112" s="23"/>
      <c r="N112" s="160"/>
      <c r="P112" s="135"/>
      <c r="Q112" s="23"/>
      <c r="R112" s="23"/>
      <c r="S112" s="160"/>
    </row>
    <row r="113" spans="1:19" x14ac:dyDescent="0.3">
      <c r="A113" s="135">
        <v>158</v>
      </c>
      <c r="B113" s="23" t="s">
        <v>247</v>
      </c>
      <c r="C113" s="23" t="s">
        <v>163</v>
      </c>
      <c r="D113" s="160">
        <v>1</v>
      </c>
      <c r="F113" s="135">
        <v>263</v>
      </c>
      <c r="G113" s="23" t="s">
        <v>115</v>
      </c>
      <c r="H113" s="23" t="s">
        <v>162</v>
      </c>
      <c r="I113" s="160">
        <v>1</v>
      </c>
      <c r="K113" s="135"/>
      <c r="L113" s="23"/>
      <c r="M113" s="23"/>
      <c r="N113" s="160"/>
      <c r="P113" s="135"/>
      <c r="Q113" s="23"/>
      <c r="R113" s="23"/>
      <c r="S113" s="160"/>
    </row>
    <row r="114" spans="1:19" x14ac:dyDescent="0.3">
      <c r="A114" s="135">
        <v>158</v>
      </c>
      <c r="B114" s="23" t="s">
        <v>247</v>
      </c>
      <c r="C114" s="23" t="s">
        <v>183</v>
      </c>
      <c r="D114" s="160">
        <v>1</v>
      </c>
      <c r="F114" s="135">
        <v>263</v>
      </c>
      <c r="G114" s="23" t="s">
        <v>115</v>
      </c>
      <c r="H114" s="23" t="s">
        <v>167</v>
      </c>
      <c r="I114" s="160">
        <v>1</v>
      </c>
      <c r="K114" s="135"/>
      <c r="L114" s="23"/>
      <c r="M114" s="23"/>
      <c r="N114" s="160"/>
      <c r="P114" s="135"/>
      <c r="Q114" s="23"/>
      <c r="R114" s="23"/>
      <c r="S114" s="160"/>
    </row>
    <row r="115" spans="1:19" x14ac:dyDescent="0.3">
      <c r="A115" s="135">
        <v>158</v>
      </c>
      <c r="B115" s="23" t="s">
        <v>247</v>
      </c>
      <c r="C115" s="23" t="s">
        <v>177</v>
      </c>
      <c r="D115" s="160">
        <v>1</v>
      </c>
      <c r="F115" s="135">
        <v>263</v>
      </c>
      <c r="G115" s="23" t="s">
        <v>115</v>
      </c>
      <c r="H115" s="23" t="s">
        <v>160</v>
      </c>
      <c r="I115" s="160">
        <v>1</v>
      </c>
      <c r="K115" s="135"/>
      <c r="L115" s="23"/>
      <c r="M115" s="23"/>
      <c r="N115" s="160"/>
      <c r="P115" s="135"/>
      <c r="Q115" s="23"/>
      <c r="R115" s="23"/>
      <c r="S115" s="160"/>
    </row>
    <row r="116" spans="1:19" x14ac:dyDescent="0.3">
      <c r="A116" s="135">
        <v>158</v>
      </c>
      <c r="B116" s="23" t="s">
        <v>247</v>
      </c>
      <c r="C116" s="23" t="s">
        <v>175</v>
      </c>
      <c r="D116" s="160">
        <v>1</v>
      </c>
      <c r="F116" s="135">
        <v>263</v>
      </c>
      <c r="G116" s="23" t="s">
        <v>115</v>
      </c>
      <c r="H116" s="23" t="s">
        <v>171</v>
      </c>
      <c r="I116" s="160">
        <v>1</v>
      </c>
      <c r="K116" s="135"/>
      <c r="L116" s="23"/>
      <c r="M116" s="23"/>
      <c r="N116" s="160"/>
      <c r="P116" s="135"/>
      <c r="Q116" s="23"/>
      <c r="R116" s="23"/>
      <c r="S116" s="160"/>
    </row>
    <row r="117" spans="1:19" x14ac:dyDescent="0.3">
      <c r="A117" s="135">
        <v>158</v>
      </c>
      <c r="B117" s="23" t="s">
        <v>247</v>
      </c>
      <c r="C117" s="23" t="s">
        <v>161</v>
      </c>
      <c r="D117" s="160">
        <v>1</v>
      </c>
      <c r="F117" s="135">
        <v>263</v>
      </c>
      <c r="G117" s="23" t="s">
        <v>115</v>
      </c>
      <c r="H117" s="23" t="s">
        <v>152</v>
      </c>
      <c r="I117" s="160">
        <v>1</v>
      </c>
      <c r="K117" s="135"/>
      <c r="L117" s="23"/>
      <c r="M117" s="23"/>
      <c r="N117" s="160"/>
      <c r="P117" s="135"/>
      <c r="Q117" s="23"/>
      <c r="R117" s="23"/>
      <c r="S117" s="160"/>
    </row>
    <row r="118" spans="1:19" x14ac:dyDescent="0.3">
      <c r="A118" s="135">
        <v>163</v>
      </c>
      <c r="B118" s="23" t="s">
        <v>261</v>
      </c>
      <c r="C118" s="23" t="s">
        <v>149</v>
      </c>
      <c r="D118" s="160">
        <v>2</v>
      </c>
      <c r="F118" s="135">
        <v>263</v>
      </c>
      <c r="G118" s="23" t="s">
        <v>115</v>
      </c>
      <c r="H118" s="23" t="s">
        <v>153</v>
      </c>
      <c r="I118" s="160">
        <v>1</v>
      </c>
      <c r="K118" s="135"/>
      <c r="L118" s="23"/>
      <c r="M118" s="23"/>
      <c r="N118" s="160"/>
      <c r="P118" s="135"/>
      <c r="Q118" s="23"/>
      <c r="R118" s="23"/>
      <c r="S118" s="160"/>
    </row>
    <row r="119" spans="1:19" x14ac:dyDescent="0.3">
      <c r="A119" s="135">
        <v>163</v>
      </c>
      <c r="B119" s="23" t="s">
        <v>261</v>
      </c>
      <c r="C119" s="23" t="s">
        <v>167</v>
      </c>
      <c r="D119" s="160">
        <v>1</v>
      </c>
      <c r="F119" s="135">
        <v>263</v>
      </c>
      <c r="G119" s="23" t="s">
        <v>115</v>
      </c>
      <c r="H119" s="23" t="s">
        <v>163</v>
      </c>
      <c r="I119" s="160">
        <v>1</v>
      </c>
      <c r="K119" s="135"/>
      <c r="L119" s="23"/>
      <c r="M119" s="23"/>
      <c r="N119" s="160"/>
      <c r="P119" s="135"/>
      <c r="Q119" s="23"/>
      <c r="R119" s="23"/>
      <c r="S119" s="160"/>
    </row>
    <row r="120" spans="1:19" x14ac:dyDescent="0.3">
      <c r="A120" s="135">
        <v>163</v>
      </c>
      <c r="B120" s="23" t="s">
        <v>261</v>
      </c>
      <c r="C120" s="23" t="s">
        <v>153</v>
      </c>
      <c r="D120" s="160">
        <v>1</v>
      </c>
      <c r="F120" s="135">
        <v>263</v>
      </c>
      <c r="G120" s="23" t="s">
        <v>115</v>
      </c>
      <c r="H120" s="23" t="s">
        <v>181</v>
      </c>
      <c r="I120" s="160">
        <v>1</v>
      </c>
      <c r="K120" s="135"/>
      <c r="L120" s="23"/>
      <c r="M120" s="23"/>
      <c r="N120" s="160"/>
      <c r="P120" s="135"/>
      <c r="Q120" s="23"/>
      <c r="R120" s="23"/>
      <c r="S120" s="160"/>
    </row>
    <row r="121" spans="1:19" x14ac:dyDescent="0.3">
      <c r="A121" s="135">
        <v>163</v>
      </c>
      <c r="B121" s="23" t="s">
        <v>261</v>
      </c>
      <c r="C121" s="23" t="s">
        <v>158</v>
      </c>
      <c r="D121" s="160">
        <v>1</v>
      </c>
      <c r="F121" s="135">
        <v>263</v>
      </c>
      <c r="G121" s="23" t="s">
        <v>115</v>
      </c>
      <c r="H121" s="23" t="s">
        <v>148</v>
      </c>
      <c r="I121" s="160">
        <v>1</v>
      </c>
      <c r="K121" s="135"/>
      <c r="L121" s="23"/>
      <c r="M121" s="23"/>
      <c r="N121" s="160"/>
      <c r="P121" s="135"/>
      <c r="Q121" s="23"/>
      <c r="R121" s="23"/>
      <c r="S121" s="160"/>
    </row>
    <row r="122" spans="1:19" x14ac:dyDescent="0.3">
      <c r="A122" s="135">
        <v>163</v>
      </c>
      <c r="B122" s="23" t="s">
        <v>261</v>
      </c>
      <c r="C122" s="23" t="s">
        <v>148</v>
      </c>
      <c r="D122" s="160">
        <v>1</v>
      </c>
      <c r="F122" s="135">
        <v>265</v>
      </c>
      <c r="G122" s="23" t="s">
        <v>257</v>
      </c>
      <c r="H122" s="23" t="s">
        <v>160</v>
      </c>
      <c r="I122" s="160">
        <v>2</v>
      </c>
      <c r="K122" s="135"/>
      <c r="L122" s="23"/>
      <c r="M122" s="23"/>
      <c r="N122" s="160"/>
      <c r="P122" s="135"/>
      <c r="Q122" s="23"/>
      <c r="R122" s="23"/>
      <c r="S122" s="160"/>
    </row>
    <row r="123" spans="1:19" x14ac:dyDescent="0.3">
      <c r="A123" s="135">
        <v>163</v>
      </c>
      <c r="B123" s="23" t="s">
        <v>261</v>
      </c>
      <c r="C123" s="23" t="s">
        <v>161</v>
      </c>
      <c r="D123" s="160">
        <v>1</v>
      </c>
      <c r="F123" s="135">
        <v>265</v>
      </c>
      <c r="G123" s="23" t="s">
        <v>257</v>
      </c>
      <c r="H123" s="23" t="s">
        <v>167</v>
      </c>
      <c r="I123" s="160">
        <v>1</v>
      </c>
      <c r="K123" s="135"/>
      <c r="L123" s="23"/>
      <c r="M123" s="23"/>
      <c r="N123" s="160"/>
      <c r="P123" s="135"/>
      <c r="Q123" s="23"/>
      <c r="R123" s="23"/>
      <c r="S123" s="160"/>
    </row>
    <row r="124" spans="1:19" x14ac:dyDescent="0.3">
      <c r="A124" s="135">
        <v>163</v>
      </c>
      <c r="B124" s="23" t="s">
        <v>261</v>
      </c>
      <c r="C124" s="23" t="s">
        <v>173</v>
      </c>
      <c r="D124" s="160">
        <v>1</v>
      </c>
      <c r="F124" s="135">
        <v>266</v>
      </c>
      <c r="G124" s="23" t="s">
        <v>238</v>
      </c>
      <c r="H124" s="23" t="s">
        <v>156</v>
      </c>
      <c r="I124" s="160">
        <v>4</v>
      </c>
      <c r="K124" s="135"/>
      <c r="L124" s="23"/>
      <c r="M124" s="23"/>
      <c r="N124" s="160"/>
      <c r="P124" s="135"/>
      <c r="Q124" s="23"/>
      <c r="R124" s="23"/>
      <c r="S124" s="160"/>
    </row>
    <row r="125" spans="1:19" x14ac:dyDescent="0.3">
      <c r="A125" s="135">
        <v>179</v>
      </c>
      <c r="B125" s="23" t="s">
        <v>84</v>
      </c>
      <c r="C125" s="23" t="s">
        <v>170</v>
      </c>
      <c r="D125" s="160">
        <v>1</v>
      </c>
      <c r="F125" s="135">
        <v>266</v>
      </c>
      <c r="G125" s="23" t="s">
        <v>238</v>
      </c>
      <c r="H125" s="23" t="s">
        <v>153</v>
      </c>
      <c r="I125" s="160">
        <v>1</v>
      </c>
      <c r="K125" s="135"/>
      <c r="L125" s="23"/>
      <c r="M125" s="23"/>
      <c r="N125" s="160"/>
      <c r="P125" s="135"/>
      <c r="Q125" s="23"/>
      <c r="R125" s="23"/>
      <c r="S125" s="160"/>
    </row>
    <row r="126" spans="1:19" x14ac:dyDescent="0.3">
      <c r="A126" s="135">
        <v>188</v>
      </c>
      <c r="B126" s="23" t="s">
        <v>249</v>
      </c>
      <c r="C126" s="23" t="s">
        <v>150</v>
      </c>
      <c r="D126" s="160">
        <v>2</v>
      </c>
      <c r="F126" s="135">
        <v>267</v>
      </c>
      <c r="G126" s="23" t="s">
        <v>296</v>
      </c>
      <c r="H126" s="23" t="s">
        <v>151</v>
      </c>
      <c r="I126" s="160">
        <v>1</v>
      </c>
      <c r="K126" s="135"/>
      <c r="L126" s="23"/>
      <c r="M126" s="23"/>
      <c r="N126" s="160"/>
      <c r="P126" s="135"/>
      <c r="Q126" s="23"/>
      <c r="R126" s="23"/>
      <c r="S126" s="160"/>
    </row>
    <row r="127" spans="1:19" x14ac:dyDescent="0.3">
      <c r="A127" s="135">
        <v>188</v>
      </c>
      <c r="B127" s="23" t="s">
        <v>249</v>
      </c>
      <c r="C127" s="23" t="s">
        <v>148</v>
      </c>
      <c r="D127" s="160">
        <v>1</v>
      </c>
      <c r="F127" s="135">
        <v>269</v>
      </c>
      <c r="G127" s="23" t="s">
        <v>241</v>
      </c>
      <c r="H127" s="23" t="s">
        <v>154</v>
      </c>
      <c r="I127" s="160">
        <v>1</v>
      </c>
      <c r="K127" s="135"/>
      <c r="L127" s="23"/>
      <c r="M127" s="23"/>
      <c r="N127" s="160"/>
      <c r="P127" s="135"/>
      <c r="Q127" s="23"/>
      <c r="R127" s="23"/>
      <c r="S127" s="160"/>
    </row>
    <row r="128" spans="1:19" x14ac:dyDescent="0.3">
      <c r="A128" s="135">
        <v>191</v>
      </c>
      <c r="B128" s="23" t="s">
        <v>279</v>
      </c>
      <c r="C128" s="23" t="s">
        <v>156</v>
      </c>
      <c r="D128" s="160">
        <v>4</v>
      </c>
      <c r="F128" s="135">
        <v>269</v>
      </c>
      <c r="G128" s="23" t="s">
        <v>241</v>
      </c>
      <c r="H128" s="23" t="s">
        <v>148</v>
      </c>
      <c r="I128" s="160">
        <v>1</v>
      </c>
      <c r="K128" s="135"/>
      <c r="L128" s="23"/>
      <c r="M128" s="23"/>
      <c r="N128" s="160"/>
      <c r="P128" s="135"/>
      <c r="Q128" s="23"/>
      <c r="R128" s="23"/>
      <c r="S128" s="160"/>
    </row>
    <row r="129" spans="1:19" x14ac:dyDescent="0.3">
      <c r="A129" s="135">
        <v>191</v>
      </c>
      <c r="B129" s="23" t="s">
        <v>279</v>
      </c>
      <c r="C129" s="23" t="s">
        <v>160</v>
      </c>
      <c r="D129" s="160">
        <v>1</v>
      </c>
      <c r="F129" s="135">
        <v>269</v>
      </c>
      <c r="G129" s="23" t="s">
        <v>241</v>
      </c>
      <c r="H129" s="23" t="s">
        <v>160</v>
      </c>
      <c r="I129" s="160">
        <v>1</v>
      </c>
      <c r="K129" s="135"/>
      <c r="L129" s="23"/>
      <c r="M129" s="23"/>
      <c r="N129" s="160"/>
      <c r="P129" s="135"/>
      <c r="Q129" s="23"/>
      <c r="R129" s="23"/>
      <c r="S129" s="160"/>
    </row>
    <row r="130" spans="1:19" x14ac:dyDescent="0.3">
      <c r="A130" s="135">
        <v>194</v>
      </c>
      <c r="B130" s="23" t="s">
        <v>128</v>
      </c>
      <c r="C130" s="23" t="s">
        <v>154</v>
      </c>
      <c r="D130" s="160">
        <v>3</v>
      </c>
      <c r="F130" s="135">
        <v>269</v>
      </c>
      <c r="G130" s="23" t="s">
        <v>241</v>
      </c>
      <c r="H130" s="23" t="s">
        <v>150</v>
      </c>
      <c r="I130" s="160">
        <v>1</v>
      </c>
      <c r="K130" s="135"/>
      <c r="L130" s="23"/>
      <c r="M130" s="23"/>
      <c r="N130" s="160"/>
      <c r="P130" s="135"/>
      <c r="Q130" s="23"/>
      <c r="R130" s="23"/>
      <c r="S130" s="160"/>
    </row>
    <row r="131" spans="1:19" x14ac:dyDescent="0.3">
      <c r="A131" s="135">
        <v>194</v>
      </c>
      <c r="B131" s="23" t="s">
        <v>128</v>
      </c>
      <c r="C131" s="23" t="s">
        <v>150</v>
      </c>
      <c r="D131" s="160">
        <v>2</v>
      </c>
      <c r="F131" s="135">
        <v>274</v>
      </c>
      <c r="G131" s="23" t="s">
        <v>139</v>
      </c>
      <c r="H131" s="23" t="s">
        <v>150</v>
      </c>
      <c r="I131" s="160">
        <v>3</v>
      </c>
      <c r="K131" s="135"/>
      <c r="L131" s="23"/>
      <c r="M131" s="23"/>
      <c r="N131" s="160"/>
      <c r="P131" s="135"/>
      <c r="Q131" s="23"/>
      <c r="R131" s="23"/>
      <c r="S131" s="160"/>
    </row>
    <row r="132" spans="1:19" x14ac:dyDescent="0.3">
      <c r="A132" s="135">
        <v>208</v>
      </c>
      <c r="B132" s="23" t="s">
        <v>306</v>
      </c>
      <c r="C132" s="23" t="s">
        <v>188</v>
      </c>
      <c r="D132" s="160">
        <v>1</v>
      </c>
      <c r="F132" s="135">
        <v>274</v>
      </c>
      <c r="G132" s="23" t="s">
        <v>139</v>
      </c>
      <c r="H132" s="23" t="s">
        <v>170</v>
      </c>
      <c r="I132" s="160">
        <v>2</v>
      </c>
      <c r="K132" s="135"/>
      <c r="L132" s="23"/>
      <c r="M132" s="23"/>
      <c r="N132" s="160"/>
      <c r="P132" s="135"/>
      <c r="Q132" s="23"/>
      <c r="R132" s="23"/>
      <c r="S132" s="160"/>
    </row>
    <row r="133" spans="1:19" x14ac:dyDescent="0.3">
      <c r="A133" s="135">
        <v>217</v>
      </c>
      <c r="B133" s="23" t="s">
        <v>291</v>
      </c>
      <c r="C133" s="23" t="s">
        <v>152</v>
      </c>
      <c r="D133" s="160">
        <v>1</v>
      </c>
      <c r="F133" s="135">
        <v>274</v>
      </c>
      <c r="G133" s="23" t="s">
        <v>139</v>
      </c>
      <c r="H133" s="23" t="s">
        <v>199</v>
      </c>
      <c r="I133" s="160">
        <v>1</v>
      </c>
      <c r="K133" s="135"/>
      <c r="L133" s="23"/>
      <c r="M133" s="23"/>
      <c r="N133" s="160"/>
      <c r="P133" s="135"/>
      <c r="Q133" s="23"/>
      <c r="R133" s="23"/>
      <c r="S133" s="160"/>
    </row>
    <row r="134" spans="1:19" x14ac:dyDescent="0.3">
      <c r="A134" s="135">
        <v>217</v>
      </c>
      <c r="B134" s="23" t="s">
        <v>291</v>
      </c>
      <c r="C134" s="23" t="s">
        <v>148</v>
      </c>
      <c r="D134" s="160">
        <v>1</v>
      </c>
      <c r="F134" s="135">
        <v>275</v>
      </c>
      <c r="G134" s="23" t="s">
        <v>293</v>
      </c>
      <c r="H134" s="23" t="s">
        <v>150</v>
      </c>
      <c r="I134" s="160">
        <v>1</v>
      </c>
      <c r="K134" s="135"/>
      <c r="L134" s="23"/>
      <c r="M134" s="23"/>
      <c r="N134" s="160"/>
      <c r="P134" s="135"/>
      <c r="Q134" s="23"/>
      <c r="R134" s="23"/>
      <c r="S134" s="160"/>
    </row>
    <row r="135" spans="1:19" x14ac:dyDescent="0.3">
      <c r="A135" s="135">
        <v>217</v>
      </c>
      <c r="B135" s="23" t="s">
        <v>291</v>
      </c>
      <c r="C135" s="23" t="s">
        <v>165</v>
      </c>
      <c r="D135" s="160">
        <v>1</v>
      </c>
      <c r="F135" s="135">
        <v>306</v>
      </c>
      <c r="G135" s="23" t="s">
        <v>259</v>
      </c>
      <c r="H135" s="23" t="s">
        <v>172</v>
      </c>
      <c r="I135" s="160">
        <v>1</v>
      </c>
      <c r="K135" s="135"/>
      <c r="L135" s="23"/>
      <c r="M135" s="23"/>
      <c r="N135" s="160"/>
      <c r="P135" s="135"/>
      <c r="Q135" s="23"/>
      <c r="R135" s="23"/>
      <c r="S135" s="160"/>
    </row>
    <row r="136" spans="1:19" x14ac:dyDescent="0.3">
      <c r="A136" s="135">
        <v>217</v>
      </c>
      <c r="B136" s="23" t="s">
        <v>291</v>
      </c>
      <c r="C136" s="23" t="s">
        <v>162</v>
      </c>
      <c r="D136" s="160">
        <v>1</v>
      </c>
      <c r="F136" s="135">
        <v>314</v>
      </c>
      <c r="G136" s="23" t="s">
        <v>269</v>
      </c>
      <c r="H136" s="23" t="s">
        <v>152</v>
      </c>
      <c r="I136" s="160">
        <v>2</v>
      </c>
      <c r="K136" s="135"/>
      <c r="L136" s="23"/>
      <c r="M136" s="23"/>
      <c r="N136" s="160"/>
      <c r="P136" s="135"/>
      <c r="Q136" s="23"/>
      <c r="R136" s="23"/>
      <c r="S136" s="160"/>
    </row>
    <row r="137" spans="1:19" x14ac:dyDescent="0.3">
      <c r="A137" s="135">
        <v>219</v>
      </c>
      <c r="B137" s="23" t="s">
        <v>256</v>
      </c>
      <c r="C137" s="23" t="s">
        <v>173</v>
      </c>
      <c r="D137" s="160">
        <v>2</v>
      </c>
      <c r="F137" s="135">
        <v>314</v>
      </c>
      <c r="G137" s="23" t="s">
        <v>269</v>
      </c>
      <c r="H137" s="23" t="s">
        <v>153</v>
      </c>
      <c r="I137" s="160">
        <v>1</v>
      </c>
      <c r="K137" s="135"/>
      <c r="L137" s="23"/>
      <c r="M137" s="23"/>
      <c r="N137" s="160"/>
      <c r="P137" s="135"/>
      <c r="Q137" s="23"/>
      <c r="R137" s="23"/>
      <c r="S137" s="160"/>
    </row>
    <row r="138" spans="1:19" x14ac:dyDescent="0.3">
      <c r="A138" s="135">
        <v>219</v>
      </c>
      <c r="B138" s="23" t="s">
        <v>256</v>
      </c>
      <c r="C138" s="23" t="s">
        <v>149</v>
      </c>
      <c r="D138" s="160">
        <v>2</v>
      </c>
      <c r="F138" s="135">
        <v>314</v>
      </c>
      <c r="G138" s="23" t="s">
        <v>269</v>
      </c>
      <c r="H138" s="23" t="s">
        <v>159</v>
      </c>
      <c r="I138" s="160">
        <v>1</v>
      </c>
      <c r="K138" s="135"/>
      <c r="L138" s="23"/>
      <c r="M138" s="23"/>
      <c r="N138" s="160"/>
      <c r="P138" s="135"/>
      <c r="Q138" s="23"/>
      <c r="R138" s="23"/>
      <c r="S138" s="160"/>
    </row>
    <row r="139" spans="1:19" x14ac:dyDescent="0.3">
      <c r="A139" s="135">
        <v>219</v>
      </c>
      <c r="B139" s="23" t="s">
        <v>256</v>
      </c>
      <c r="C139" s="23" t="s">
        <v>153</v>
      </c>
      <c r="D139" s="160">
        <v>2</v>
      </c>
      <c r="F139" s="135">
        <v>314</v>
      </c>
      <c r="G139" s="23" t="s">
        <v>269</v>
      </c>
      <c r="H139" s="23" t="s">
        <v>187</v>
      </c>
      <c r="I139" s="160">
        <v>1</v>
      </c>
      <c r="K139" s="135"/>
      <c r="L139" s="23"/>
      <c r="M139" s="23"/>
      <c r="N139" s="160"/>
      <c r="P139" s="135"/>
      <c r="Q139" s="23"/>
      <c r="R139" s="23"/>
      <c r="S139" s="160"/>
    </row>
    <row r="140" spans="1:19" x14ac:dyDescent="0.3">
      <c r="A140" s="135">
        <v>219</v>
      </c>
      <c r="B140" s="23" t="s">
        <v>256</v>
      </c>
      <c r="C140" s="23" t="s">
        <v>154</v>
      </c>
      <c r="D140" s="160">
        <v>1</v>
      </c>
      <c r="F140" s="135">
        <v>314</v>
      </c>
      <c r="G140" s="23" t="s">
        <v>269</v>
      </c>
      <c r="H140" s="23" t="s">
        <v>167</v>
      </c>
      <c r="I140" s="160">
        <v>1</v>
      </c>
      <c r="K140" s="135"/>
      <c r="L140" s="23"/>
      <c r="M140" s="23"/>
      <c r="N140" s="160"/>
      <c r="P140" s="135"/>
      <c r="Q140" s="23"/>
      <c r="R140" s="23"/>
      <c r="S140" s="160"/>
    </row>
    <row r="141" spans="1:19" x14ac:dyDescent="0.3">
      <c r="A141" s="135">
        <v>219</v>
      </c>
      <c r="B141" s="23" t="s">
        <v>256</v>
      </c>
      <c r="C141" s="23" t="s">
        <v>155</v>
      </c>
      <c r="D141" s="160">
        <v>1</v>
      </c>
      <c r="F141" s="135">
        <v>314</v>
      </c>
      <c r="G141" s="23" t="s">
        <v>269</v>
      </c>
      <c r="H141" s="23" t="s">
        <v>166</v>
      </c>
      <c r="I141" s="160">
        <v>1</v>
      </c>
      <c r="K141" s="135"/>
      <c r="L141" s="23"/>
      <c r="M141" s="23"/>
      <c r="N141" s="160"/>
      <c r="P141" s="135"/>
      <c r="Q141" s="23"/>
      <c r="R141" s="23"/>
      <c r="S141" s="160"/>
    </row>
    <row r="142" spans="1:19" x14ac:dyDescent="0.3">
      <c r="A142" s="135">
        <v>219</v>
      </c>
      <c r="B142" s="23" t="s">
        <v>256</v>
      </c>
      <c r="C142" s="23" t="s">
        <v>181</v>
      </c>
      <c r="D142" s="160">
        <v>1</v>
      </c>
      <c r="F142" s="135">
        <v>314</v>
      </c>
      <c r="G142" s="23" t="s">
        <v>269</v>
      </c>
      <c r="H142" s="23" t="s">
        <v>149</v>
      </c>
      <c r="I142" s="160">
        <v>1</v>
      </c>
      <c r="K142" s="135"/>
      <c r="L142" s="23"/>
      <c r="M142" s="23"/>
      <c r="N142" s="160"/>
      <c r="P142" s="135"/>
      <c r="Q142" s="23"/>
      <c r="R142" s="23"/>
      <c r="S142" s="160"/>
    </row>
    <row r="143" spans="1:19" x14ac:dyDescent="0.3">
      <c r="A143" s="135">
        <v>219</v>
      </c>
      <c r="B143" s="23" t="s">
        <v>256</v>
      </c>
      <c r="C143" s="23" t="s">
        <v>177</v>
      </c>
      <c r="D143" s="160">
        <v>1</v>
      </c>
      <c r="F143" s="135">
        <v>318</v>
      </c>
      <c r="G143" s="23" t="s">
        <v>239</v>
      </c>
      <c r="H143" s="23" t="s">
        <v>195</v>
      </c>
      <c r="I143" s="160">
        <v>1</v>
      </c>
      <c r="K143" s="135"/>
      <c r="L143" s="23"/>
      <c r="M143" s="23"/>
      <c r="N143" s="160"/>
      <c r="P143" s="135"/>
      <c r="Q143" s="23"/>
      <c r="R143" s="23"/>
      <c r="S143" s="160"/>
    </row>
    <row r="144" spans="1:19" x14ac:dyDescent="0.3">
      <c r="A144" s="135">
        <v>219</v>
      </c>
      <c r="B144" s="23" t="s">
        <v>256</v>
      </c>
      <c r="C144" s="23" t="s">
        <v>150</v>
      </c>
      <c r="D144" s="160">
        <v>1</v>
      </c>
      <c r="F144" s="135">
        <v>318</v>
      </c>
      <c r="G144" s="23" t="s">
        <v>239</v>
      </c>
      <c r="H144" s="23" t="s">
        <v>172</v>
      </c>
      <c r="I144" s="160">
        <v>1</v>
      </c>
      <c r="K144" s="135"/>
      <c r="L144" s="23"/>
      <c r="M144" s="23"/>
      <c r="N144" s="160"/>
      <c r="P144" s="135"/>
      <c r="Q144" s="23"/>
      <c r="R144" s="23"/>
      <c r="S144" s="160"/>
    </row>
    <row r="145" spans="1:19" x14ac:dyDescent="0.3">
      <c r="A145" s="135">
        <v>219</v>
      </c>
      <c r="B145" s="23" t="s">
        <v>256</v>
      </c>
      <c r="C145" s="23" t="s">
        <v>157</v>
      </c>
      <c r="D145" s="160">
        <v>1</v>
      </c>
      <c r="F145" s="135">
        <v>324</v>
      </c>
      <c r="G145" s="23" t="s">
        <v>248</v>
      </c>
      <c r="H145" s="23" t="s">
        <v>163</v>
      </c>
      <c r="I145" s="160">
        <v>2</v>
      </c>
      <c r="K145" s="135"/>
      <c r="L145" s="23"/>
      <c r="M145" s="23"/>
      <c r="N145" s="160"/>
      <c r="P145" s="135"/>
      <c r="Q145" s="23"/>
      <c r="R145" s="23"/>
      <c r="S145" s="160"/>
    </row>
    <row r="146" spans="1:19" x14ac:dyDescent="0.3">
      <c r="A146" s="135">
        <v>219</v>
      </c>
      <c r="B146" s="23" t="s">
        <v>256</v>
      </c>
      <c r="C146" s="23" t="s">
        <v>151</v>
      </c>
      <c r="D146" s="160">
        <v>1</v>
      </c>
      <c r="F146" s="135">
        <v>324</v>
      </c>
      <c r="G146" s="23" t="s">
        <v>248</v>
      </c>
      <c r="H146" s="23" t="s">
        <v>158</v>
      </c>
      <c r="I146" s="160">
        <v>2</v>
      </c>
      <c r="K146" s="135"/>
      <c r="L146" s="23"/>
      <c r="M146" s="23"/>
      <c r="N146" s="160"/>
      <c r="P146" s="135"/>
      <c r="Q146" s="23"/>
      <c r="R146" s="23"/>
      <c r="S146" s="160"/>
    </row>
    <row r="147" spans="1:19" x14ac:dyDescent="0.3">
      <c r="A147" s="135">
        <v>224</v>
      </c>
      <c r="B147" s="23" t="s">
        <v>254</v>
      </c>
      <c r="C147" s="23" t="s">
        <v>149</v>
      </c>
      <c r="D147" s="160">
        <v>4</v>
      </c>
      <c r="F147" s="135">
        <v>324</v>
      </c>
      <c r="G147" s="23" t="s">
        <v>248</v>
      </c>
      <c r="H147" s="23" t="s">
        <v>177</v>
      </c>
      <c r="I147" s="160">
        <v>2</v>
      </c>
      <c r="K147" s="135"/>
      <c r="L147" s="23"/>
      <c r="M147" s="23"/>
      <c r="N147" s="160"/>
      <c r="P147" s="135"/>
      <c r="Q147" s="23"/>
      <c r="R147" s="23"/>
      <c r="S147" s="160"/>
    </row>
    <row r="148" spans="1:19" x14ac:dyDescent="0.3">
      <c r="A148" s="135">
        <v>224</v>
      </c>
      <c r="B148" s="23" t="s">
        <v>254</v>
      </c>
      <c r="C148" s="23" t="s">
        <v>148</v>
      </c>
      <c r="D148" s="160">
        <v>2</v>
      </c>
      <c r="F148" s="135">
        <v>324</v>
      </c>
      <c r="G148" s="23" t="s">
        <v>248</v>
      </c>
      <c r="H148" s="23" t="s">
        <v>183</v>
      </c>
      <c r="I148" s="160">
        <v>2</v>
      </c>
      <c r="K148" s="135"/>
      <c r="L148" s="23"/>
      <c r="M148" s="23"/>
      <c r="N148" s="160"/>
      <c r="P148" s="135"/>
      <c r="Q148" s="23"/>
      <c r="R148" s="23"/>
      <c r="S148" s="160"/>
    </row>
    <row r="149" spans="1:19" x14ac:dyDescent="0.3">
      <c r="A149" s="135">
        <v>224</v>
      </c>
      <c r="B149" s="23" t="s">
        <v>254</v>
      </c>
      <c r="C149" s="23" t="s">
        <v>174</v>
      </c>
      <c r="D149" s="160">
        <v>2</v>
      </c>
      <c r="F149" s="135">
        <v>324</v>
      </c>
      <c r="G149" s="23" t="s">
        <v>248</v>
      </c>
      <c r="H149" s="23" t="s">
        <v>149</v>
      </c>
      <c r="I149" s="160">
        <v>1</v>
      </c>
      <c r="K149" s="135"/>
      <c r="L149" s="23"/>
      <c r="M149" s="23"/>
      <c r="N149" s="160"/>
      <c r="P149" s="135"/>
      <c r="Q149" s="23"/>
      <c r="R149" s="23"/>
      <c r="S149" s="160"/>
    </row>
    <row r="150" spans="1:19" x14ac:dyDescent="0.3">
      <c r="A150" s="135">
        <v>224</v>
      </c>
      <c r="B150" s="23" t="s">
        <v>254</v>
      </c>
      <c r="C150" s="23" t="s">
        <v>151</v>
      </c>
      <c r="D150" s="160">
        <v>2</v>
      </c>
      <c r="F150" s="135">
        <v>324</v>
      </c>
      <c r="G150" s="23" t="s">
        <v>248</v>
      </c>
      <c r="H150" s="23" t="s">
        <v>159</v>
      </c>
      <c r="I150" s="160">
        <v>1</v>
      </c>
      <c r="K150" s="135"/>
      <c r="L150" s="23"/>
      <c r="M150" s="23"/>
      <c r="N150" s="160"/>
      <c r="P150" s="135"/>
      <c r="Q150" s="23"/>
      <c r="R150" s="23"/>
      <c r="S150" s="160"/>
    </row>
    <row r="151" spans="1:19" x14ac:dyDescent="0.3">
      <c r="A151" s="135">
        <v>224</v>
      </c>
      <c r="B151" s="23" t="s">
        <v>254</v>
      </c>
      <c r="C151" s="23" t="s">
        <v>172</v>
      </c>
      <c r="D151" s="160">
        <v>1</v>
      </c>
      <c r="F151" s="135">
        <v>324</v>
      </c>
      <c r="G151" s="23" t="s">
        <v>248</v>
      </c>
      <c r="H151" s="23" t="s">
        <v>148</v>
      </c>
      <c r="I151" s="160">
        <v>1</v>
      </c>
      <c r="K151" s="135"/>
      <c r="L151" s="23"/>
      <c r="M151" s="23"/>
      <c r="N151" s="160"/>
      <c r="P151" s="135"/>
      <c r="Q151" s="23"/>
      <c r="R151" s="23"/>
      <c r="S151" s="160"/>
    </row>
    <row r="152" spans="1:19" x14ac:dyDescent="0.3">
      <c r="A152" s="135">
        <v>224</v>
      </c>
      <c r="B152" s="23" t="s">
        <v>254</v>
      </c>
      <c r="C152" s="23" t="s">
        <v>192</v>
      </c>
      <c r="D152" s="160">
        <v>1</v>
      </c>
      <c r="F152" s="135">
        <v>324</v>
      </c>
      <c r="G152" s="23" t="s">
        <v>248</v>
      </c>
      <c r="H152" s="23" t="s">
        <v>179</v>
      </c>
      <c r="I152" s="160">
        <v>1</v>
      </c>
      <c r="K152" s="135"/>
      <c r="L152" s="23"/>
      <c r="M152" s="23"/>
      <c r="N152" s="160"/>
      <c r="P152" s="135"/>
      <c r="Q152" s="23"/>
      <c r="R152" s="23"/>
      <c r="S152" s="160"/>
    </row>
    <row r="153" spans="1:19" x14ac:dyDescent="0.3">
      <c r="A153" s="135">
        <v>224</v>
      </c>
      <c r="B153" s="23" t="s">
        <v>254</v>
      </c>
      <c r="C153" s="23" t="s">
        <v>154</v>
      </c>
      <c r="D153" s="160">
        <v>1</v>
      </c>
      <c r="F153" s="135">
        <v>324</v>
      </c>
      <c r="G153" s="23" t="s">
        <v>248</v>
      </c>
      <c r="H153" s="23" t="s">
        <v>175</v>
      </c>
      <c r="I153" s="160">
        <v>1</v>
      </c>
      <c r="K153" s="135"/>
      <c r="L153" s="23"/>
      <c r="M153" s="23"/>
      <c r="N153" s="160"/>
      <c r="P153" s="135"/>
      <c r="Q153" s="23"/>
      <c r="R153" s="23"/>
      <c r="S153" s="160"/>
    </row>
    <row r="154" spans="1:19" x14ac:dyDescent="0.3">
      <c r="A154" s="135">
        <v>228</v>
      </c>
      <c r="B154" s="23" t="s">
        <v>86</v>
      </c>
      <c r="C154" s="23" t="s">
        <v>150</v>
      </c>
      <c r="D154" s="160">
        <v>3</v>
      </c>
      <c r="F154" s="135">
        <v>327</v>
      </c>
      <c r="G154" s="23" t="s">
        <v>231</v>
      </c>
      <c r="H154" s="23" t="s">
        <v>156</v>
      </c>
      <c r="I154" s="160">
        <v>3</v>
      </c>
      <c r="K154" s="135"/>
      <c r="L154" s="23"/>
      <c r="M154" s="23"/>
      <c r="N154" s="160"/>
      <c r="P154" s="135"/>
      <c r="Q154" s="23"/>
      <c r="R154" s="23"/>
      <c r="S154" s="160"/>
    </row>
    <row r="155" spans="1:19" x14ac:dyDescent="0.3">
      <c r="A155" s="135">
        <v>228</v>
      </c>
      <c r="B155" s="23" t="s">
        <v>86</v>
      </c>
      <c r="C155" s="23" t="s">
        <v>149</v>
      </c>
      <c r="D155" s="160">
        <v>2</v>
      </c>
      <c r="F155" s="135">
        <v>344</v>
      </c>
      <c r="G155" s="23" t="s">
        <v>221</v>
      </c>
      <c r="H155" s="23" t="s">
        <v>151</v>
      </c>
      <c r="I155" s="160">
        <v>3</v>
      </c>
      <c r="K155" s="135"/>
      <c r="L155" s="23"/>
      <c r="M155" s="23"/>
      <c r="N155" s="160"/>
      <c r="P155" s="135"/>
      <c r="Q155" s="23"/>
      <c r="R155" s="23"/>
      <c r="S155" s="160"/>
    </row>
    <row r="156" spans="1:19" x14ac:dyDescent="0.3">
      <c r="A156" s="135">
        <v>228</v>
      </c>
      <c r="B156" s="23" t="s">
        <v>86</v>
      </c>
      <c r="C156" s="23" t="s">
        <v>148</v>
      </c>
      <c r="D156" s="160">
        <v>2</v>
      </c>
      <c r="F156" s="135">
        <v>344</v>
      </c>
      <c r="G156" s="23" t="s">
        <v>221</v>
      </c>
      <c r="H156" s="23" t="s">
        <v>148</v>
      </c>
      <c r="I156" s="160">
        <v>2</v>
      </c>
      <c r="K156" s="135"/>
      <c r="L156" s="23"/>
      <c r="M156" s="23"/>
      <c r="N156" s="160"/>
      <c r="P156" s="135"/>
      <c r="Q156" s="23"/>
      <c r="R156" s="23"/>
      <c r="S156" s="160"/>
    </row>
    <row r="157" spans="1:19" x14ac:dyDescent="0.3">
      <c r="A157" s="135">
        <v>228</v>
      </c>
      <c r="B157" s="23" t="s">
        <v>86</v>
      </c>
      <c r="C157" s="23" t="s">
        <v>162</v>
      </c>
      <c r="D157" s="160">
        <v>2</v>
      </c>
      <c r="F157" s="135">
        <v>344</v>
      </c>
      <c r="G157" s="23" t="s">
        <v>221</v>
      </c>
      <c r="H157" s="23" t="s">
        <v>150</v>
      </c>
      <c r="I157" s="160">
        <v>2</v>
      </c>
      <c r="K157" s="135"/>
      <c r="L157" s="23"/>
      <c r="M157" s="23"/>
      <c r="N157" s="160"/>
      <c r="P157" s="135"/>
      <c r="Q157" s="23"/>
      <c r="R157" s="23"/>
      <c r="S157" s="160"/>
    </row>
    <row r="158" spans="1:19" x14ac:dyDescent="0.3">
      <c r="A158" s="135">
        <v>228</v>
      </c>
      <c r="B158" s="23" t="s">
        <v>86</v>
      </c>
      <c r="C158" s="23" t="s">
        <v>161</v>
      </c>
      <c r="D158" s="160">
        <v>1</v>
      </c>
      <c r="F158" s="135">
        <v>344</v>
      </c>
      <c r="G158" s="23" t="s">
        <v>221</v>
      </c>
      <c r="H158" s="23" t="s">
        <v>186</v>
      </c>
      <c r="I158" s="160">
        <v>1</v>
      </c>
      <c r="K158" s="135"/>
      <c r="L158" s="23"/>
      <c r="M158" s="23"/>
      <c r="N158" s="160"/>
      <c r="P158" s="135"/>
      <c r="Q158" s="23"/>
      <c r="R158" s="23"/>
      <c r="S158" s="160"/>
    </row>
    <row r="159" spans="1:19" x14ac:dyDescent="0.3">
      <c r="A159" s="135">
        <v>228</v>
      </c>
      <c r="B159" s="23" t="s">
        <v>86</v>
      </c>
      <c r="C159" s="23" t="s">
        <v>151</v>
      </c>
      <c r="D159" s="160">
        <v>1</v>
      </c>
      <c r="F159" s="135">
        <v>344</v>
      </c>
      <c r="G159" s="23" t="s">
        <v>221</v>
      </c>
      <c r="H159" s="23" t="s">
        <v>149</v>
      </c>
      <c r="I159" s="160">
        <v>1</v>
      </c>
      <c r="K159" s="135"/>
      <c r="L159" s="23"/>
      <c r="M159" s="23"/>
      <c r="N159" s="160"/>
      <c r="P159" s="135"/>
      <c r="Q159" s="23"/>
      <c r="R159" s="23"/>
      <c r="S159" s="160"/>
    </row>
    <row r="160" spans="1:19" x14ac:dyDescent="0.3">
      <c r="A160" s="135">
        <v>228</v>
      </c>
      <c r="B160" s="23" t="s">
        <v>86</v>
      </c>
      <c r="C160" s="23" t="s">
        <v>168</v>
      </c>
      <c r="D160" s="160">
        <v>1</v>
      </c>
      <c r="F160" s="135">
        <v>346</v>
      </c>
      <c r="G160" s="23" t="s">
        <v>235</v>
      </c>
      <c r="H160" s="23" t="s">
        <v>148</v>
      </c>
      <c r="I160" s="160">
        <v>2</v>
      </c>
      <c r="K160" s="135"/>
      <c r="L160" s="23"/>
      <c r="M160" s="23"/>
      <c r="N160" s="160"/>
      <c r="P160" s="135"/>
      <c r="Q160" s="23"/>
      <c r="R160" s="23"/>
      <c r="S160" s="160"/>
    </row>
    <row r="161" spans="1:19" x14ac:dyDescent="0.3">
      <c r="A161" s="135">
        <v>228</v>
      </c>
      <c r="B161" s="23" t="s">
        <v>86</v>
      </c>
      <c r="C161" s="23" t="s">
        <v>179</v>
      </c>
      <c r="D161" s="160">
        <v>1</v>
      </c>
      <c r="F161" s="135">
        <v>348</v>
      </c>
      <c r="G161" s="23" t="s">
        <v>232</v>
      </c>
      <c r="H161" s="23" t="s">
        <v>159</v>
      </c>
      <c r="I161" s="160">
        <v>2</v>
      </c>
      <c r="K161" s="135"/>
      <c r="L161" s="23"/>
      <c r="M161" s="23"/>
      <c r="N161" s="160"/>
      <c r="P161" s="135"/>
      <c r="Q161" s="23"/>
      <c r="R161" s="23"/>
      <c r="S161" s="160"/>
    </row>
    <row r="162" spans="1:19" x14ac:dyDescent="0.3">
      <c r="A162" s="135">
        <v>228</v>
      </c>
      <c r="B162" s="23" t="s">
        <v>86</v>
      </c>
      <c r="C162" s="23" t="s">
        <v>153</v>
      </c>
      <c r="D162" s="160">
        <v>1</v>
      </c>
      <c r="F162" s="135">
        <v>348</v>
      </c>
      <c r="G162" s="23" t="s">
        <v>232</v>
      </c>
      <c r="H162" s="23" t="s">
        <v>149</v>
      </c>
      <c r="I162" s="160">
        <v>1</v>
      </c>
      <c r="K162" s="135"/>
      <c r="L162" s="23"/>
      <c r="M162" s="23"/>
      <c r="N162" s="160"/>
      <c r="P162" s="135"/>
      <c r="Q162" s="23"/>
      <c r="R162" s="23"/>
      <c r="S162" s="160"/>
    </row>
    <row r="163" spans="1:19" x14ac:dyDescent="0.3">
      <c r="A163" s="135">
        <v>228</v>
      </c>
      <c r="B163" s="23" t="s">
        <v>86</v>
      </c>
      <c r="C163" s="23" t="s">
        <v>202</v>
      </c>
      <c r="D163" s="160">
        <v>1</v>
      </c>
      <c r="F163" s="135">
        <v>349</v>
      </c>
      <c r="G163" s="23" t="s">
        <v>234</v>
      </c>
      <c r="H163" s="23" t="s">
        <v>158</v>
      </c>
      <c r="I163" s="160">
        <v>5</v>
      </c>
      <c r="K163" s="135"/>
      <c r="L163" s="23"/>
      <c r="M163" s="23"/>
      <c r="N163" s="160"/>
      <c r="P163" s="135"/>
      <c r="Q163" s="23"/>
      <c r="R163" s="23"/>
      <c r="S163" s="160"/>
    </row>
    <row r="164" spans="1:19" x14ac:dyDescent="0.3">
      <c r="A164" s="135">
        <v>262</v>
      </c>
      <c r="B164" s="23" t="s">
        <v>282</v>
      </c>
      <c r="C164" s="23" t="s">
        <v>149</v>
      </c>
      <c r="D164" s="160">
        <v>1</v>
      </c>
      <c r="F164" s="135">
        <v>349</v>
      </c>
      <c r="G164" s="23" t="s">
        <v>234</v>
      </c>
      <c r="H164" s="23" t="s">
        <v>155</v>
      </c>
      <c r="I164" s="160">
        <v>2</v>
      </c>
      <c r="K164" s="135"/>
      <c r="L164" s="23"/>
      <c r="M164" s="23"/>
      <c r="N164" s="160"/>
      <c r="P164" s="135"/>
      <c r="Q164" s="23"/>
      <c r="R164" s="23"/>
      <c r="S164" s="160"/>
    </row>
    <row r="165" spans="1:19" x14ac:dyDescent="0.3">
      <c r="A165" s="135">
        <v>262</v>
      </c>
      <c r="B165" s="23" t="s">
        <v>282</v>
      </c>
      <c r="C165" s="23" t="s">
        <v>167</v>
      </c>
      <c r="D165" s="160">
        <v>1</v>
      </c>
      <c r="F165" s="135">
        <v>349</v>
      </c>
      <c r="G165" s="23" t="s">
        <v>234</v>
      </c>
      <c r="H165" s="23" t="s">
        <v>152</v>
      </c>
      <c r="I165" s="160">
        <v>2</v>
      </c>
      <c r="K165" s="135"/>
      <c r="L165" s="23"/>
      <c r="M165" s="23"/>
      <c r="N165" s="160"/>
      <c r="P165" s="135"/>
      <c r="Q165" s="23"/>
      <c r="R165" s="23"/>
      <c r="S165" s="160"/>
    </row>
    <row r="166" spans="1:19" x14ac:dyDescent="0.3">
      <c r="A166" s="135">
        <v>262</v>
      </c>
      <c r="B166" s="23" t="s">
        <v>282</v>
      </c>
      <c r="C166" s="23" t="s">
        <v>166</v>
      </c>
      <c r="D166" s="160">
        <v>1</v>
      </c>
      <c r="F166" s="135">
        <v>349</v>
      </c>
      <c r="G166" s="23" t="s">
        <v>234</v>
      </c>
      <c r="H166" s="23" t="s">
        <v>154</v>
      </c>
      <c r="I166" s="160">
        <v>1</v>
      </c>
      <c r="K166" s="135"/>
      <c r="L166" s="23"/>
      <c r="M166" s="23"/>
      <c r="N166" s="160"/>
      <c r="P166" s="135"/>
      <c r="Q166" s="23"/>
      <c r="R166" s="23"/>
      <c r="S166" s="160"/>
    </row>
    <row r="167" spans="1:19" x14ac:dyDescent="0.3">
      <c r="A167" s="135">
        <v>262</v>
      </c>
      <c r="B167" s="23" t="s">
        <v>282</v>
      </c>
      <c r="C167" s="23" t="s">
        <v>168</v>
      </c>
      <c r="D167" s="160">
        <v>1</v>
      </c>
      <c r="F167" s="135">
        <v>349</v>
      </c>
      <c r="G167" s="23" t="s">
        <v>234</v>
      </c>
      <c r="H167" s="23" t="s">
        <v>148</v>
      </c>
      <c r="I167" s="160">
        <v>1</v>
      </c>
      <c r="K167" s="135"/>
      <c r="L167" s="23"/>
      <c r="M167" s="23"/>
      <c r="N167" s="160"/>
      <c r="P167" s="135"/>
      <c r="Q167" s="23"/>
      <c r="R167" s="23"/>
      <c r="S167" s="160"/>
    </row>
    <row r="168" spans="1:19" x14ac:dyDescent="0.3">
      <c r="A168" s="135">
        <v>262</v>
      </c>
      <c r="B168" s="23" t="s">
        <v>282</v>
      </c>
      <c r="C168" s="23" t="s">
        <v>159</v>
      </c>
      <c r="D168" s="160">
        <v>1</v>
      </c>
      <c r="F168" s="135">
        <v>349</v>
      </c>
      <c r="G168" s="23" t="s">
        <v>234</v>
      </c>
      <c r="H168" s="23" t="s">
        <v>157</v>
      </c>
      <c r="I168" s="160">
        <v>1</v>
      </c>
      <c r="K168" s="135"/>
      <c r="L168" s="23"/>
      <c r="M168" s="23"/>
      <c r="N168" s="160"/>
      <c r="P168" s="135"/>
      <c r="Q168" s="23"/>
      <c r="R168" s="23"/>
      <c r="S168" s="160"/>
    </row>
    <row r="169" spans="1:19" x14ac:dyDescent="0.3">
      <c r="A169" s="135">
        <v>262</v>
      </c>
      <c r="B169" s="23" t="s">
        <v>282</v>
      </c>
      <c r="C169" s="23" t="s">
        <v>164</v>
      </c>
      <c r="D169" s="160">
        <v>1</v>
      </c>
      <c r="F169" s="135">
        <v>353</v>
      </c>
      <c r="G169" s="23" t="s">
        <v>226</v>
      </c>
      <c r="H169" s="23" t="s">
        <v>148</v>
      </c>
      <c r="I169" s="160">
        <v>3</v>
      </c>
      <c r="K169" s="135"/>
      <c r="L169" s="23"/>
      <c r="M169" s="23"/>
      <c r="N169" s="160"/>
      <c r="P169" s="135"/>
      <c r="Q169" s="23"/>
      <c r="R169" s="23"/>
      <c r="S169" s="160"/>
    </row>
    <row r="170" spans="1:19" x14ac:dyDescent="0.3">
      <c r="A170" s="135">
        <v>264</v>
      </c>
      <c r="B170" s="23" t="s">
        <v>298</v>
      </c>
      <c r="C170" s="23" t="s">
        <v>186</v>
      </c>
      <c r="D170" s="160">
        <v>1</v>
      </c>
      <c r="F170" s="135">
        <v>353</v>
      </c>
      <c r="G170" s="23" t="s">
        <v>226</v>
      </c>
      <c r="H170" s="23" t="s">
        <v>150</v>
      </c>
      <c r="I170" s="160">
        <v>2</v>
      </c>
      <c r="K170" s="135"/>
      <c r="L170" s="23"/>
      <c r="M170" s="23"/>
      <c r="N170" s="160"/>
      <c r="P170" s="135"/>
      <c r="Q170" s="23"/>
      <c r="R170" s="23"/>
      <c r="S170" s="160"/>
    </row>
    <row r="171" spans="1:19" x14ac:dyDescent="0.3">
      <c r="A171" s="135">
        <v>313</v>
      </c>
      <c r="B171" s="23" t="s">
        <v>245</v>
      </c>
      <c r="C171" s="23" t="s">
        <v>161</v>
      </c>
      <c r="D171" s="160">
        <v>3</v>
      </c>
      <c r="F171" s="135">
        <v>353</v>
      </c>
      <c r="G171" s="23" t="s">
        <v>226</v>
      </c>
      <c r="H171" s="23" t="s">
        <v>165</v>
      </c>
      <c r="I171" s="160">
        <v>2</v>
      </c>
      <c r="K171" s="135"/>
      <c r="L171" s="23"/>
      <c r="M171" s="23"/>
      <c r="N171" s="160"/>
      <c r="P171" s="135"/>
      <c r="Q171" s="23"/>
      <c r="R171" s="23"/>
      <c r="S171" s="160"/>
    </row>
    <row r="172" spans="1:19" x14ac:dyDescent="0.3">
      <c r="A172" s="135">
        <v>313</v>
      </c>
      <c r="B172" s="23" t="s">
        <v>245</v>
      </c>
      <c r="C172" s="23" t="s">
        <v>148</v>
      </c>
      <c r="D172" s="160">
        <v>3</v>
      </c>
      <c r="F172" s="135">
        <v>353</v>
      </c>
      <c r="G172" s="23" t="s">
        <v>226</v>
      </c>
      <c r="H172" s="23" t="s">
        <v>164</v>
      </c>
      <c r="I172" s="160">
        <v>1</v>
      </c>
      <c r="K172" s="135"/>
      <c r="L172" s="23"/>
      <c r="M172" s="23"/>
      <c r="N172" s="160"/>
      <c r="P172" s="135"/>
      <c r="Q172" s="23"/>
      <c r="R172" s="23"/>
      <c r="S172" s="160"/>
    </row>
    <row r="173" spans="1:19" x14ac:dyDescent="0.3">
      <c r="A173" s="135">
        <v>313</v>
      </c>
      <c r="B173" s="23" t="s">
        <v>245</v>
      </c>
      <c r="C173" s="23" t="s">
        <v>154</v>
      </c>
      <c r="D173" s="160">
        <v>2</v>
      </c>
      <c r="F173" s="135">
        <v>354</v>
      </c>
      <c r="G173" s="23" t="s">
        <v>286</v>
      </c>
      <c r="H173" s="23" t="s">
        <v>148</v>
      </c>
      <c r="I173" s="160">
        <v>3</v>
      </c>
      <c r="K173" s="135"/>
      <c r="L173" s="23"/>
      <c r="M173" s="23"/>
      <c r="N173" s="160"/>
      <c r="P173" s="135"/>
      <c r="Q173" s="23"/>
      <c r="R173" s="23"/>
      <c r="S173" s="160"/>
    </row>
    <row r="174" spans="1:19" x14ac:dyDescent="0.3">
      <c r="A174" s="135">
        <v>313</v>
      </c>
      <c r="B174" s="23" t="s">
        <v>245</v>
      </c>
      <c r="C174" s="23" t="s">
        <v>152</v>
      </c>
      <c r="D174" s="160">
        <v>2</v>
      </c>
      <c r="F174" s="135">
        <v>354</v>
      </c>
      <c r="G174" s="23" t="s">
        <v>286</v>
      </c>
      <c r="H174" s="23" t="s">
        <v>150</v>
      </c>
      <c r="I174" s="160">
        <v>1</v>
      </c>
      <c r="K174" s="135"/>
      <c r="L174" s="23"/>
      <c r="M174" s="23"/>
      <c r="N174" s="160"/>
      <c r="P174" s="135"/>
      <c r="Q174" s="23"/>
      <c r="R174" s="23"/>
      <c r="S174" s="160"/>
    </row>
    <row r="175" spans="1:19" x14ac:dyDescent="0.3">
      <c r="A175" s="135">
        <v>313</v>
      </c>
      <c r="B175" s="23" t="s">
        <v>245</v>
      </c>
      <c r="C175" s="23" t="s">
        <v>151</v>
      </c>
      <c r="D175" s="160">
        <v>2</v>
      </c>
      <c r="F175" s="135">
        <v>356</v>
      </c>
      <c r="G175" s="23" t="s">
        <v>266</v>
      </c>
      <c r="H175" s="23" t="s">
        <v>187</v>
      </c>
      <c r="I175" s="160">
        <v>1</v>
      </c>
      <c r="K175" s="135"/>
      <c r="L175" s="23"/>
      <c r="M175" s="23"/>
      <c r="N175" s="160"/>
      <c r="P175" s="135"/>
      <c r="Q175" s="23"/>
      <c r="R175" s="23"/>
      <c r="S175" s="160"/>
    </row>
    <row r="176" spans="1:19" x14ac:dyDescent="0.3">
      <c r="A176" s="135">
        <v>313</v>
      </c>
      <c r="B176" s="23" t="s">
        <v>245</v>
      </c>
      <c r="C176" s="23" t="s">
        <v>159</v>
      </c>
      <c r="D176" s="160">
        <v>1</v>
      </c>
      <c r="F176" s="135">
        <v>356</v>
      </c>
      <c r="G176" s="23" t="s">
        <v>266</v>
      </c>
      <c r="H176" s="23" t="s">
        <v>195</v>
      </c>
      <c r="I176" s="160">
        <v>1</v>
      </c>
      <c r="K176" s="135"/>
      <c r="L176" s="23"/>
      <c r="M176" s="23"/>
      <c r="N176" s="160"/>
      <c r="P176" s="135"/>
      <c r="Q176" s="23"/>
      <c r="R176" s="23"/>
      <c r="S176" s="160"/>
    </row>
    <row r="177" spans="1:19" x14ac:dyDescent="0.3">
      <c r="A177" s="135">
        <v>313</v>
      </c>
      <c r="B177" s="23" t="s">
        <v>245</v>
      </c>
      <c r="C177" s="23" t="s">
        <v>155</v>
      </c>
      <c r="D177" s="160">
        <v>1</v>
      </c>
      <c r="F177" s="135">
        <v>359</v>
      </c>
      <c r="G177" s="23" t="s">
        <v>95</v>
      </c>
      <c r="H177" s="23" t="s">
        <v>164</v>
      </c>
      <c r="I177" s="160">
        <v>1</v>
      </c>
      <c r="K177" s="135"/>
      <c r="L177" s="23"/>
      <c r="M177" s="23"/>
      <c r="N177" s="160"/>
      <c r="P177" s="135"/>
      <c r="Q177" s="23"/>
      <c r="R177" s="23"/>
      <c r="S177" s="160"/>
    </row>
    <row r="178" spans="1:19" x14ac:dyDescent="0.3">
      <c r="A178" s="135">
        <v>313</v>
      </c>
      <c r="B178" s="23" t="s">
        <v>245</v>
      </c>
      <c r="C178" s="23" t="s">
        <v>157</v>
      </c>
      <c r="D178" s="160">
        <v>1</v>
      </c>
      <c r="F178" s="135">
        <v>364</v>
      </c>
      <c r="G178" s="23" t="s">
        <v>136</v>
      </c>
      <c r="H178" s="23" t="s">
        <v>151</v>
      </c>
      <c r="I178" s="160">
        <v>3</v>
      </c>
      <c r="K178" s="135"/>
      <c r="L178" s="23"/>
      <c r="M178" s="23"/>
      <c r="N178" s="160"/>
      <c r="P178" s="135"/>
      <c r="Q178" s="23"/>
      <c r="R178" s="23"/>
      <c r="S178" s="160"/>
    </row>
    <row r="179" spans="1:19" x14ac:dyDescent="0.3">
      <c r="A179" s="135">
        <v>334</v>
      </c>
      <c r="B179" s="23" t="s">
        <v>212</v>
      </c>
      <c r="C179" s="23" t="s">
        <v>156</v>
      </c>
      <c r="D179" s="160">
        <v>4</v>
      </c>
      <c r="F179" s="135">
        <v>364</v>
      </c>
      <c r="G179" s="23" t="s">
        <v>136</v>
      </c>
      <c r="H179" s="23" t="s">
        <v>148</v>
      </c>
      <c r="I179" s="160">
        <v>3</v>
      </c>
      <c r="K179" s="135"/>
      <c r="L179" s="23"/>
      <c r="M179" s="23"/>
      <c r="N179" s="160"/>
      <c r="P179" s="135"/>
      <c r="Q179" s="23"/>
      <c r="R179" s="23"/>
      <c r="S179" s="160"/>
    </row>
    <row r="180" spans="1:19" x14ac:dyDescent="0.3">
      <c r="A180" s="135">
        <v>334</v>
      </c>
      <c r="B180" s="23" t="s">
        <v>212</v>
      </c>
      <c r="C180" s="23" t="s">
        <v>196</v>
      </c>
      <c r="D180" s="160">
        <v>1</v>
      </c>
      <c r="F180" s="135">
        <v>364</v>
      </c>
      <c r="G180" s="23" t="s">
        <v>136</v>
      </c>
      <c r="H180" s="23" t="s">
        <v>160</v>
      </c>
      <c r="I180" s="160">
        <v>2</v>
      </c>
      <c r="K180" s="135"/>
      <c r="L180" s="23"/>
      <c r="M180" s="23"/>
      <c r="N180" s="160"/>
      <c r="P180" s="135"/>
      <c r="Q180" s="23"/>
      <c r="R180" s="23"/>
      <c r="S180" s="160"/>
    </row>
    <row r="181" spans="1:19" x14ac:dyDescent="0.3">
      <c r="A181" s="135">
        <v>334</v>
      </c>
      <c r="B181" s="23" t="s">
        <v>212</v>
      </c>
      <c r="C181" s="23" t="s">
        <v>191</v>
      </c>
      <c r="D181" s="160">
        <v>1</v>
      </c>
      <c r="F181" s="135">
        <v>373</v>
      </c>
      <c r="G181" s="23" t="s">
        <v>251</v>
      </c>
      <c r="H181" s="23" t="s">
        <v>149</v>
      </c>
      <c r="I181" s="160">
        <v>3</v>
      </c>
      <c r="K181" s="135"/>
      <c r="L181" s="23"/>
      <c r="M181" s="23"/>
      <c r="N181" s="160"/>
      <c r="P181" s="135"/>
      <c r="Q181" s="23"/>
      <c r="R181" s="23"/>
      <c r="S181" s="160"/>
    </row>
    <row r="182" spans="1:19" x14ac:dyDescent="0.3">
      <c r="A182" s="135">
        <v>336</v>
      </c>
      <c r="B182" s="23" t="s">
        <v>283</v>
      </c>
      <c r="C182" s="23" t="s">
        <v>157</v>
      </c>
      <c r="D182" s="160">
        <v>1</v>
      </c>
      <c r="F182" s="135">
        <v>373</v>
      </c>
      <c r="G182" s="23" t="s">
        <v>251</v>
      </c>
      <c r="H182" s="23" t="s">
        <v>163</v>
      </c>
      <c r="I182" s="160">
        <v>2</v>
      </c>
      <c r="K182" s="135"/>
      <c r="L182" s="23"/>
      <c r="M182" s="23"/>
      <c r="N182" s="160"/>
      <c r="P182" s="135"/>
      <c r="Q182" s="23"/>
      <c r="R182" s="23"/>
      <c r="S182" s="160"/>
    </row>
    <row r="183" spans="1:19" x14ac:dyDescent="0.3">
      <c r="A183" s="135">
        <v>338</v>
      </c>
      <c r="B183" s="23" t="s">
        <v>287</v>
      </c>
      <c r="C183" s="23" t="s">
        <v>197</v>
      </c>
      <c r="D183" s="160">
        <v>1</v>
      </c>
      <c r="F183" s="135">
        <v>373</v>
      </c>
      <c r="G183" s="23" t="s">
        <v>251</v>
      </c>
      <c r="H183" s="23" t="s">
        <v>153</v>
      </c>
      <c r="I183" s="160">
        <v>1</v>
      </c>
      <c r="K183" s="135"/>
      <c r="L183" s="23"/>
      <c r="M183" s="23"/>
      <c r="N183" s="160"/>
      <c r="P183" s="135"/>
      <c r="Q183" s="23"/>
      <c r="R183" s="23"/>
      <c r="S183" s="160"/>
    </row>
    <row r="184" spans="1:19" x14ac:dyDescent="0.3">
      <c r="A184" s="135">
        <v>343</v>
      </c>
      <c r="B184" s="23" t="s">
        <v>301</v>
      </c>
      <c r="C184" s="23" t="s">
        <v>150</v>
      </c>
      <c r="D184" s="160">
        <v>1</v>
      </c>
      <c r="F184" s="135">
        <v>373</v>
      </c>
      <c r="G184" s="23" t="s">
        <v>251</v>
      </c>
      <c r="H184" s="23" t="s">
        <v>151</v>
      </c>
      <c r="I184" s="160">
        <v>1</v>
      </c>
      <c r="K184" s="135"/>
      <c r="L184" s="23"/>
      <c r="M184" s="23"/>
      <c r="N184" s="160"/>
      <c r="P184" s="135"/>
      <c r="Q184" s="23"/>
      <c r="R184" s="23"/>
      <c r="S184" s="160"/>
    </row>
    <row r="185" spans="1:19" x14ac:dyDescent="0.3">
      <c r="A185" s="135">
        <v>343</v>
      </c>
      <c r="B185" s="23" t="s">
        <v>301</v>
      </c>
      <c r="C185" s="23" t="s">
        <v>148</v>
      </c>
      <c r="D185" s="160">
        <v>1</v>
      </c>
      <c r="F185" s="135">
        <v>375</v>
      </c>
      <c r="G185" s="23" t="s">
        <v>300</v>
      </c>
      <c r="H185" s="23" t="s">
        <v>164</v>
      </c>
      <c r="I185" s="160">
        <v>1</v>
      </c>
      <c r="K185" s="135"/>
      <c r="L185" s="23"/>
      <c r="M185" s="23"/>
      <c r="N185" s="160"/>
      <c r="P185" s="135"/>
      <c r="Q185" s="23"/>
      <c r="R185" s="23"/>
      <c r="S185" s="160"/>
    </row>
    <row r="186" spans="1:19" x14ac:dyDescent="0.3">
      <c r="A186" s="135">
        <v>363</v>
      </c>
      <c r="B186" s="23" t="s">
        <v>216</v>
      </c>
      <c r="C186" s="23" t="s">
        <v>150</v>
      </c>
      <c r="D186" s="160">
        <v>4</v>
      </c>
      <c r="F186" s="135">
        <v>383</v>
      </c>
      <c r="G186" s="23" t="s">
        <v>278</v>
      </c>
      <c r="H186" s="23" t="s">
        <v>148</v>
      </c>
      <c r="I186" s="160">
        <v>2</v>
      </c>
      <c r="K186" s="135"/>
      <c r="L186" s="23"/>
      <c r="M186" s="23"/>
      <c r="N186" s="160"/>
      <c r="P186" s="135"/>
      <c r="Q186" s="23"/>
      <c r="R186" s="23"/>
      <c r="S186" s="160"/>
    </row>
    <row r="187" spans="1:19" x14ac:dyDescent="0.3">
      <c r="A187" s="135">
        <v>363</v>
      </c>
      <c r="B187" s="23" t="s">
        <v>216</v>
      </c>
      <c r="C187" s="23" t="s">
        <v>152</v>
      </c>
      <c r="D187" s="160">
        <v>3</v>
      </c>
      <c r="F187" s="135">
        <v>383</v>
      </c>
      <c r="G187" s="23" t="s">
        <v>278</v>
      </c>
      <c r="H187" s="23" t="s">
        <v>158</v>
      </c>
      <c r="I187" s="160">
        <v>2</v>
      </c>
      <c r="K187" s="135"/>
      <c r="L187" s="23"/>
      <c r="M187" s="23"/>
      <c r="N187" s="160"/>
      <c r="P187" s="135"/>
      <c r="Q187" s="23"/>
      <c r="R187" s="23"/>
      <c r="S187" s="160"/>
    </row>
    <row r="188" spans="1:19" x14ac:dyDescent="0.3">
      <c r="A188" s="135">
        <v>363</v>
      </c>
      <c r="B188" s="23" t="s">
        <v>216</v>
      </c>
      <c r="C188" s="23" t="s">
        <v>153</v>
      </c>
      <c r="D188" s="160">
        <v>2</v>
      </c>
      <c r="F188" s="135">
        <v>393</v>
      </c>
      <c r="G188" s="23" t="s">
        <v>82</v>
      </c>
      <c r="H188" s="23" t="s">
        <v>148</v>
      </c>
      <c r="I188" s="160">
        <v>2</v>
      </c>
      <c r="K188" s="135"/>
      <c r="L188" s="23"/>
      <c r="M188" s="23"/>
      <c r="N188" s="160"/>
      <c r="P188" s="135"/>
      <c r="Q188" s="23"/>
      <c r="R188" s="23"/>
      <c r="S188" s="160"/>
    </row>
    <row r="189" spans="1:19" x14ac:dyDescent="0.3">
      <c r="A189" s="135">
        <v>363</v>
      </c>
      <c r="B189" s="23" t="s">
        <v>216</v>
      </c>
      <c r="C189" s="23" t="s">
        <v>148</v>
      </c>
      <c r="D189" s="160">
        <v>2</v>
      </c>
      <c r="F189" s="135">
        <v>393</v>
      </c>
      <c r="G189" s="23" t="s">
        <v>82</v>
      </c>
      <c r="H189" s="23" t="s">
        <v>163</v>
      </c>
      <c r="I189" s="160">
        <v>1</v>
      </c>
      <c r="K189" s="135"/>
      <c r="L189" s="23"/>
      <c r="M189" s="23"/>
      <c r="N189" s="160"/>
      <c r="P189" s="135"/>
      <c r="Q189" s="23"/>
      <c r="R189" s="23"/>
      <c r="S189" s="160"/>
    </row>
    <row r="190" spans="1:19" x14ac:dyDescent="0.3">
      <c r="A190" s="135">
        <v>363</v>
      </c>
      <c r="B190" s="23" t="s">
        <v>216</v>
      </c>
      <c r="C190" s="23" t="s">
        <v>155</v>
      </c>
      <c r="D190" s="160">
        <v>2</v>
      </c>
      <c r="F190" s="135">
        <v>393</v>
      </c>
      <c r="G190" s="23" t="s">
        <v>82</v>
      </c>
      <c r="H190" s="23" t="s">
        <v>204</v>
      </c>
      <c r="I190" s="160">
        <v>1</v>
      </c>
      <c r="K190" s="135"/>
      <c r="L190" s="23"/>
      <c r="M190" s="23"/>
      <c r="N190" s="160"/>
      <c r="P190" s="135"/>
      <c r="Q190" s="23"/>
      <c r="R190" s="23"/>
      <c r="S190" s="160"/>
    </row>
    <row r="191" spans="1:19" x14ac:dyDescent="0.3">
      <c r="A191" s="135">
        <v>363</v>
      </c>
      <c r="B191" s="23" t="s">
        <v>216</v>
      </c>
      <c r="C191" s="23" t="s">
        <v>157</v>
      </c>
      <c r="D191" s="160">
        <v>2</v>
      </c>
      <c r="F191" s="135">
        <v>394</v>
      </c>
      <c r="G191" s="23" t="s">
        <v>236</v>
      </c>
      <c r="H191" s="23" t="s">
        <v>151</v>
      </c>
      <c r="I191" s="160">
        <v>2</v>
      </c>
      <c r="K191" s="135"/>
      <c r="L191" s="23"/>
      <c r="M191" s="23"/>
      <c r="N191" s="160"/>
      <c r="P191" s="135"/>
      <c r="Q191" s="23"/>
      <c r="R191" s="23"/>
      <c r="S191" s="160"/>
    </row>
    <row r="192" spans="1:19" x14ac:dyDescent="0.3">
      <c r="A192" s="135">
        <v>363</v>
      </c>
      <c r="B192" s="23" t="s">
        <v>216</v>
      </c>
      <c r="C192" s="23" t="s">
        <v>158</v>
      </c>
      <c r="D192" s="160">
        <v>1</v>
      </c>
      <c r="F192" s="135">
        <v>394</v>
      </c>
      <c r="G192" s="23" t="s">
        <v>236</v>
      </c>
      <c r="H192" s="23" t="s">
        <v>152</v>
      </c>
      <c r="I192" s="160">
        <v>2</v>
      </c>
      <c r="K192" s="135"/>
      <c r="L192" s="23"/>
      <c r="M192" s="23"/>
      <c r="N192" s="160"/>
      <c r="P192" s="135"/>
      <c r="Q192" s="23"/>
      <c r="R192" s="23"/>
      <c r="S192" s="160"/>
    </row>
    <row r="193" spans="1:19" x14ac:dyDescent="0.3">
      <c r="A193" s="135">
        <v>363</v>
      </c>
      <c r="B193" s="23" t="s">
        <v>216</v>
      </c>
      <c r="C193" s="23" t="s">
        <v>184</v>
      </c>
      <c r="D193" s="160">
        <v>1</v>
      </c>
      <c r="F193" s="135">
        <v>394</v>
      </c>
      <c r="G193" s="23" t="s">
        <v>236</v>
      </c>
      <c r="H193" s="23" t="s">
        <v>149</v>
      </c>
      <c r="I193" s="160">
        <v>2</v>
      </c>
      <c r="K193" s="135"/>
      <c r="L193" s="23"/>
      <c r="M193" s="23"/>
      <c r="N193" s="160"/>
      <c r="P193" s="135"/>
      <c r="Q193" s="23"/>
      <c r="R193" s="23"/>
      <c r="S193" s="160"/>
    </row>
    <row r="194" spans="1:19" x14ac:dyDescent="0.3">
      <c r="A194" s="135">
        <v>369</v>
      </c>
      <c r="B194" s="23" t="s">
        <v>284</v>
      </c>
      <c r="C194" s="23" t="s">
        <v>148</v>
      </c>
      <c r="D194" s="160">
        <v>3</v>
      </c>
      <c r="F194" s="135">
        <v>394</v>
      </c>
      <c r="G194" s="23" t="s">
        <v>236</v>
      </c>
      <c r="H194" s="23" t="s">
        <v>194</v>
      </c>
      <c r="I194" s="160">
        <v>1</v>
      </c>
      <c r="K194" s="135"/>
      <c r="L194" s="23"/>
      <c r="M194" s="23"/>
      <c r="N194" s="160"/>
      <c r="P194" s="135"/>
      <c r="Q194" s="23"/>
      <c r="R194" s="23"/>
      <c r="S194" s="160"/>
    </row>
    <row r="195" spans="1:19" x14ac:dyDescent="0.3">
      <c r="A195" s="135">
        <v>376</v>
      </c>
      <c r="B195" s="23" t="s">
        <v>267</v>
      </c>
      <c r="C195" s="23" t="s">
        <v>148</v>
      </c>
      <c r="D195" s="160">
        <v>1</v>
      </c>
      <c r="F195" s="135">
        <v>394</v>
      </c>
      <c r="G195" s="23" t="s">
        <v>236</v>
      </c>
      <c r="H195" s="23" t="s">
        <v>200</v>
      </c>
      <c r="I195" s="160">
        <v>1</v>
      </c>
      <c r="K195" s="135"/>
      <c r="L195" s="23"/>
      <c r="M195" s="23"/>
      <c r="N195" s="160"/>
      <c r="P195" s="135"/>
      <c r="Q195" s="23"/>
      <c r="R195" s="23"/>
      <c r="S195" s="160"/>
    </row>
    <row r="196" spans="1:19" x14ac:dyDescent="0.3">
      <c r="A196" s="135">
        <v>385</v>
      </c>
      <c r="B196" s="23" t="s">
        <v>103</v>
      </c>
      <c r="C196" s="23" t="s">
        <v>191</v>
      </c>
      <c r="D196" s="160">
        <v>1</v>
      </c>
      <c r="F196" s="135">
        <v>394</v>
      </c>
      <c r="G196" s="23" t="s">
        <v>236</v>
      </c>
      <c r="H196" s="23" t="s">
        <v>153</v>
      </c>
      <c r="I196" s="160">
        <v>1</v>
      </c>
      <c r="K196" s="135"/>
      <c r="L196" s="23"/>
      <c r="M196" s="23"/>
      <c r="N196" s="160"/>
      <c r="P196" s="135"/>
      <c r="Q196" s="23"/>
      <c r="R196" s="23"/>
      <c r="S196" s="160"/>
    </row>
    <row r="197" spans="1:19" x14ac:dyDescent="0.3">
      <c r="A197" s="135">
        <v>385</v>
      </c>
      <c r="B197" s="23" t="s">
        <v>103</v>
      </c>
      <c r="C197" s="23" t="s">
        <v>203</v>
      </c>
      <c r="D197" s="160">
        <v>1</v>
      </c>
      <c r="F197" s="135">
        <v>394</v>
      </c>
      <c r="G197" s="23" t="s">
        <v>236</v>
      </c>
      <c r="H197" s="23" t="s">
        <v>148</v>
      </c>
      <c r="I197" s="160">
        <v>1</v>
      </c>
      <c r="K197" s="135"/>
      <c r="L197" s="23"/>
      <c r="M197" s="23"/>
      <c r="N197" s="160"/>
      <c r="P197" s="135"/>
      <c r="Q197" s="23"/>
      <c r="R197" s="23"/>
      <c r="S197" s="160"/>
    </row>
    <row r="198" spans="1:19" x14ac:dyDescent="0.3">
      <c r="A198" s="135">
        <v>385</v>
      </c>
      <c r="B198" s="23" t="s">
        <v>103</v>
      </c>
      <c r="C198" s="23" t="s">
        <v>156</v>
      </c>
      <c r="D198" s="160">
        <v>1</v>
      </c>
      <c r="F198" s="135">
        <v>394</v>
      </c>
      <c r="G198" s="23" t="s">
        <v>236</v>
      </c>
      <c r="H198" s="23" t="s">
        <v>155</v>
      </c>
      <c r="I198" s="160">
        <v>1</v>
      </c>
      <c r="K198" s="135"/>
      <c r="L198" s="23"/>
      <c r="M198" s="23"/>
      <c r="N198" s="160"/>
      <c r="P198" s="135"/>
      <c r="Q198" s="23"/>
      <c r="R198" s="23"/>
      <c r="S198" s="160"/>
    </row>
    <row r="199" spans="1:19" x14ac:dyDescent="0.3">
      <c r="A199" s="135">
        <v>389</v>
      </c>
      <c r="B199" s="23" t="s">
        <v>260</v>
      </c>
      <c r="C199" s="23" t="s">
        <v>209</v>
      </c>
      <c r="D199" s="160">
        <v>1</v>
      </c>
      <c r="F199" s="135">
        <v>395</v>
      </c>
      <c r="G199" s="23" t="s">
        <v>307</v>
      </c>
      <c r="H199" s="23" t="s">
        <v>150</v>
      </c>
      <c r="I199" s="160">
        <v>1</v>
      </c>
      <c r="K199" s="135"/>
      <c r="L199" s="23"/>
      <c r="M199" s="23"/>
      <c r="N199" s="160"/>
      <c r="P199" s="135"/>
      <c r="Q199" s="23"/>
      <c r="R199" s="23"/>
      <c r="S199" s="160"/>
    </row>
    <row r="200" spans="1:19" x14ac:dyDescent="0.3">
      <c r="A200" s="135">
        <v>396</v>
      </c>
      <c r="B200" s="23" t="s">
        <v>222</v>
      </c>
      <c r="C200" s="23" t="s">
        <v>149</v>
      </c>
      <c r="D200" s="160">
        <v>3</v>
      </c>
      <c r="F200" s="135">
        <v>424</v>
      </c>
      <c r="G200" s="23" t="s">
        <v>88</v>
      </c>
      <c r="H200" s="23" t="s">
        <v>151</v>
      </c>
      <c r="I200" s="160">
        <v>1</v>
      </c>
      <c r="K200" s="135"/>
      <c r="L200" s="23"/>
      <c r="M200" s="23"/>
      <c r="N200" s="160"/>
      <c r="P200" s="135"/>
      <c r="Q200" s="23"/>
      <c r="R200" s="23"/>
      <c r="S200" s="160"/>
    </row>
    <row r="201" spans="1:19" x14ac:dyDescent="0.3">
      <c r="A201" s="135">
        <v>396</v>
      </c>
      <c r="B201" s="23" t="s">
        <v>222</v>
      </c>
      <c r="C201" s="23" t="s">
        <v>176</v>
      </c>
      <c r="D201" s="160">
        <v>2</v>
      </c>
      <c r="F201" s="135">
        <v>428</v>
      </c>
      <c r="G201" s="23" t="s">
        <v>90</v>
      </c>
      <c r="H201" s="23" t="s">
        <v>150</v>
      </c>
      <c r="I201" s="160">
        <v>4</v>
      </c>
      <c r="K201" s="135"/>
      <c r="L201" s="23"/>
      <c r="M201" s="23"/>
      <c r="N201" s="160"/>
      <c r="P201" s="135"/>
      <c r="Q201" s="23"/>
      <c r="R201" s="23"/>
      <c r="S201" s="160"/>
    </row>
    <row r="202" spans="1:19" x14ac:dyDescent="0.3">
      <c r="A202" s="135">
        <v>396</v>
      </c>
      <c r="B202" s="23" t="s">
        <v>222</v>
      </c>
      <c r="C202" s="23" t="s">
        <v>152</v>
      </c>
      <c r="D202" s="160">
        <v>1</v>
      </c>
      <c r="F202" s="135">
        <v>428</v>
      </c>
      <c r="G202" s="23" t="s">
        <v>90</v>
      </c>
      <c r="H202" s="23" t="s">
        <v>160</v>
      </c>
      <c r="I202" s="160">
        <v>2</v>
      </c>
      <c r="K202" s="135"/>
      <c r="L202" s="23"/>
      <c r="M202" s="23"/>
      <c r="N202" s="160"/>
      <c r="P202" s="135"/>
      <c r="Q202" s="23"/>
      <c r="R202" s="23"/>
      <c r="S202" s="160"/>
    </row>
    <row r="203" spans="1:19" x14ac:dyDescent="0.3">
      <c r="A203" s="135">
        <v>397</v>
      </c>
      <c r="B203" s="23" t="s">
        <v>290</v>
      </c>
      <c r="C203" s="23" t="s">
        <v>208</v>
      </c>
      <c r="D203" s="160">
        <v>1</v>
      </c>
      <c r="F203" s="135">
        <v>428</v>
      </c>
      <c r="G203" s="23" t="s">
        <v>90</v>
      </c>
      <c r="H203" s="23" t="s">
        <v>170</v>
      </c>
      <c r="I203" s="160">
        <v>2</v>
      </c>
      <c r="K203" s="135"/>
      <c r="L203" s="23"/>
      <c r="M203" s="23"/>
      <c r="N203" s="160"/>
      <c r="P203" s="135"/>
      <c r="Q203" s="23"/>
      <c r="R203" s="23"/>
      <c r="S203" s="160"/>
    </row>
    <row r="204" spans="1:19" x14ac:dyDescent="0.3">
      <c r="A204" s="135">
        <v>398</v>
      </c>
      <c r="B204" s="23" t="s">
        <v>304</v>
      </c>
      <c r="C204" s="23" t="s">
        <v>151</v>
      </c>
      <c r="D204" s="160">
        <v>1</v>
      </c>
      <c r="F204" s="135">
        <v>449</v>
      </c>
      <c r="G204" s="23" t="s">
        <v>213</v>
      </c>
      <c r="H204" s="23" t="s">
        <v>148</v>
      </c>
      <c r="I204" s="160">
        <v>4</v>
      </c>
      <c r="K204" s="135"/>
      <c r="L204" s="23"/>
      <c r="M204" s="23"/>
      <c r="N204" s="160"/>
      <c r="P204" s="135"/>
      <c r="Q204" s="23"/>
      <c r="R204" s="23"/>
      <c r="S204" s="160"/>
    </row>
    <row r="205" spans="1:19" x14ac:dyDescent="0.3">
      <c r="A205" s="135">
        <v>399</v>
      </c>
      <c r="B205" s="23" t="s">
        <v>224</v>
      </c>
      <c r="C205" s="23" t="s">
        <v>149</v>
      </c>
      <c r="D205" s="160">
        <v>2</v>
      </c>
      <c r="F205" s="135">
        <v>449</v>
      </c>
      <c r="G205" s="23" t="s">
        <v>213</v>
      </c>
      <c r="H205" s="23" t="s">
        <v>153</v>
      </c>
      <c r="I205" s="160">
        <v>2</v>
      </c>
      <c r="K205" s="135"/>
      <c r="L205" s="23"/>
      <c r="M205" s="23"/>
      <c r="N205" s="160"/>
      <c r="P205" s="135"/>
      <c r="Q205" s="23"/>
      <c r="R205" s="23"/>
      <c r="S205" s="160"/>
    </row>
    <row r="206" spans="1:19" x14ac:dyDescent="0.3">
      <c r="A206" s="135">
        <v>399</v>
      </c>
      <c r="B206" s="23" t="s">
        <v>224</v>
      </c>
      <c r="C206" s="23" t="s">
        <v>188</v>
      </c>
      <c r="D206" s="160">
        <v>1</v>
      </c>
      <c r="F206" s="135">
        <v>449</v>
      </c>
      <c r="G206" s="23" t="s">
        <v>213</v>
      </c>
      <c r="H206" s="23" t="s">
        <v>152</v>
      </c>
      <c r="I206" s="160">
        <v>2</v>
      </c>
      <c r="K206" s="135"/>
      <c r="L206" s="23"/>
      <c r="M206" s="23"/>
      <c r="N206" s="160"/>
      <c r="P206" s="135"/>
      <c r="Q206" s="23"/>
      <c r="R206" s="23"/>
      <c r="S206" s="160"/>
    </row>
    <row r="207" spans="1:19" x14ac:dyDescent="0.3">
      <c r="A207" s="135">
        <v>407</v>
      </c>
      <c r="B207" s="23" t="s">
        <v>123</v>
      </c>
      <c r="C207" s="23" t="s">
        <v>148</v>
      </c>
      <c r="D207" s="160">
        <v>1</v>
      </c>
      <c r="F207" s="135">
        <v>449</v>
      </c>
      <c r="G207" s="23" t="s">
        <v>213</v>
      </c>
      <c r="H207" s="23" t="s">
        <v>164</v>
      </c>
      <c r="I207" s="160">
        <v>2</v>
      </c>
      <c r="K207" s="135"/>
      <c r="L207" s="23"/>
      <c r="M207" s="23"/>
      <c r="N207" s="160"/>
      <c r="P207" s="135"/>
      <c r="Q207" s="23"/>
      <c r="R207" s="23"/>
      <c r="S207" s="160"/>
    </row>
    <row r="208" spans="1:19" x14ac:dyDescent="0.3">
      <c r="A208" s="135">
        <v>414</v>
      </c>
      <c r="B208" s="23" t="s">
        <v>214</v>
      </c>
      <c r="C208" s="23" t="s">
        <v>148</v>
      </c>
      <c r="D208" s="160">
        <v>2</v>
      </c>
      <c r="F208" s="135">
        <v>449</v>
      </c>
      <c r="G208" s="23" t="s">
        <v>213</v>
      </c>
      <c r="H208" s="23" t="s">
        <v>198</v>
      </c>
      <c r="I208" s="160">
        <v>1</v>
      </c>
      <c r="K208" s="135"/>
      <c r="L208" s="23"/>
      <c r="M208" s="23"/>
      <c r="N208" s="160"/>
      <c r="P208" s="135"/>
      <c r="Q208" s="23"/>
      <c r="R208" s="23"/>
      <c r="S208" s="160"/>
    </row>
    <row r="209" spans="1:19" x14ac:dyDescent="0.3">
      <c r="A209" s="135">
        <v>414</v>
      </c>
      <c r="B209" s="23" t="s">
        <v>214</v>
      </c>
      <c r="C209" s="23" t="s">
        <v>155</v>
      </c>
      <c r="D209" s="160">
        <v>1</v>
      </c>
      <c r="F209" s="135">
        <v>459</v>
      </c>
      <c r="G209" s="23" t="s">
        <v>114</v>
      </c>
      <c r="H209" s="23" t="s">
        <v>148</v>
      </c>
      <c r="I209" s="160">
        <v>2</v>
      </c>
      <c r="K209" s="135"/>
      <c r="L209" s="23"/>
      <c r="M209" s="23"/>
      <c r="N209" s="160"/>
      <c r="P209" s="135"/>
      <c r="Q209" s="23"/>
      <c r="R209" s="23"/>
      <c r="S209" s="160"/>
    </row>
    <row r="210" spans="1:19" x14ac:dyDescent="0.3">
      <c r="A210" s="135">
        <v>414</v>
      </c>
      <c r="B210" s="23" t="s">
        <v>214</v>
      </c>
      <c r="C210" s="23" t="s">
        <v>168</v>
      </c>
      <c r="D210" s="160">
        <v>1</v>
      </c>
      <c r="F210" s="135">
        <v>459</v>
      </c>
      <c r="G210" s="23" t="s">
        <v>114</v>
      </c>
      <c r="H210" s="23" t="s">
        <v>151</v>
      </c>
      <c r="I210" s="160">
        <v>1</v>
      </c>
      <c r="K210" s="135"/>
      <c r="L210" s="23"/>
      <c r="M210" s="23"/>
      <c r="N210" s="160"/>
      <c r="P210" s="135"/>
      <c r="Q210" s="23"/>
      <c r="R210" s="23"/>
      <c r="S210" s="160"/>
    </row>
    <row r="211" spans="1:19" x14ac:dyDescent="0.3">
      <c r="A211" s="135">
        <v>414</v>
      </c>
      <c r="B211" s="23" t="s">
        <v>214</v>
      </c>
      <c r="C211" s="23" t="s">
        <v>149</v>
      </c>
      <c r="D211" s="160">
        <v>1</v>
      </c>
      <c r="F211" s="135"/>
      <c r="G211" s="23"/>
      <c r="H211" s="23"/>
      <c r="I211" s="160"/>
      <c r="K211" s="135"/>
      <c r="L211" s="23"/>
      <c r="M211" s="23"/>
      <c r="N211" s="160"/>
      <c r="P211" s="135"/>
      <c r="Q211" s="23"/>
      <c r="R211" s="23"/>
      <c r="S211" s="160"/>
    </row>
    <row r="212" spans="1:19" x14ac:dyDescent="0.3">
      <c r="A212" s="135">
        <v>414</v>
      </c>
      <c r="B212" s="23" t="s">
        <v>214</v>
      </c>
      <c r="C212" s="23" t="s">
        <v>157</v>
      </c>
      <c r="D212" s="160">
        <v>1</v>
      </c>
      <c r="F212" s="135"/>
      <c r="G212" s="23"/>
      <c r="H212" s="23"/>
      <c r="I212" s="160"/>
      <c r="K212" s="135"/>
      <c r="L212" s="23"/>
      <c r="M212" s="23"/>
      <c r="N212" s="160"/>
      <c r="P212" s="135"/>
      <c r="Q212" s="23"/>
      <c r="R212" s="23"/>
      <c r="S212" s="160"/>
    </row>
    <row r="213" spans="1:19" x14ac:dyDescent="0.3">
      <c r="A213" s="135">
        <v>419</v>
      </c>
      <c r="B213" s="23" t="s">
        <v>246</v>
      </c>
      <c r="C213" s="23" t="s">
        <v>153</v>
      </c>
      <c r="D213" s="160">
        <v>2</v>
      </c>
      <c r="F213" s="135"/>
      <c r="G213" s="23"/>
      <c r="H213" s="23"/>
      <c r="I213" s="160"/>
      <c r="K213" s="135"/>
      <c r="L213" s="23"/>
      <c r="M213" s="23"/>
      <c r="N213" s="160"/>
      <c r="P213" s="135"/>
      <c r="Q213" s="23"/>
      <c r="R213" s="23"/>
      <c r="S213" s="160"/>
    </row>
    <row r="214" spans="1:19" x14ac:dyDescent="0.3">
      <c r="A214" s="135"/>
      <c r="B214" s="23"/>
      <c r="C214" s="23"/>
      <c r="D214" s="160"/>
      <c r="F214" s="135"/>
      <c r="G214" s="23"/>
      <c r="H214" s="23"/>
      <c r="I214" s="160"/>
      <c r="K214" s="135"/>
      <c r="L214" s="23"/>
      <c r="M214" s="23"/>
      <c r="N214" s="160"/>
      <c r="P214" s="135"/>
      <c r="Q214" s="23"/>
      <c r="R214" s="23"/>
      <c r="S214" s="160"/>
    </row>
    <row r="215" spans="1:19" x14ac:dyDescent="0.3">
      <c r="A215" s="135"/>
      <c r="B215" s="23"/>
      <c r="C215" s="23"/>
      <c r="D215" s="160"/>
      <c r="F215" s="135"/>
      <c r="G215" s="23"/>
      <c r="H215" s="23"/>
      <c r="I215" s="160"/>
      <c r="K215" s="135"/>
      <c r="L215" s="23"/>
      <c r="M215" s="23"/>
      <c r="N215" s="160"/>
      <c r="P215" s="135"/>
      <c r="Q215" s="23"/>
      <c r="R215" s="23"/>
      <c r="S215" s="160"/>
    </row>
    <row r="216" spans="1:19" x14ac:dyDescent="0.3">
      <c r="A216" s="135"/>
      <c r="B216" s="23"/>
      <c r="C216" s="23"/>
      <c r="D216" s="160"/>
      <c r="F216" s="135"/>
      <c r="G216" s="23"/>
      <c r="H216" s="23"/>
      <c r="I216" s="160"/>
      <c r="K216" s="135"/>
      <c r="L216" s="23"/>
      <c r="M216" s="23"/>
      <c r="N216" s="160"/>
      <c r="P216" s="135"/>
      <c r="Q216" s="23"/>
      <c r="R216" s="23"/>
      <c r="S216" s="160"/>
    </row>
    <row r="217" spans="1:19" x14ac:dyDescent="0.3">
      <c r="A217" s="135"/>
      <c r="B217" s="23"/>
      <c r="C217" s="23"/>
      <c r="D217" s="160"/>
      <c r="F217" s="135"/>
      <c r="G217" s="23"/>
      <c r="H217" s="23"/>
      <c r="I217" s="160"/>
      <c r="K217" s="135"/>
      <c r="L217" s="23"/>
      <c r="M217" s="23"/>
      <c r="N217" s="160"/>
      <c r="P217" s="135"/>
      <c r="Q217" s="23"/>
      <c r="R217" s="23"/>
      <c r="S217" s="160"/>
    </row>
    <row r="218" spans="1:19" x14ac:dyDescent="0.3">
      <c r="A218" s="135"/>
      <c r="B218" s="23"/>
      <c r="C218" s="23"/>
      <c r="D218" s="160"/>
      <c r="F218" s="135"/>
      <c r="G218" s="23"/>
      <c r="H218" s="23"/>
      <c r="I218" s="160"/>
      <c r="K218" s="135"/>
      <c r="L218" s="23"/>
      <c r="M218" s="23"/>
      <c r="N218" s="160"/>
      <c r="P218" s="135"/>
      <c r="Q218" s="23"/>
      <c r="R218" s="23"/>
      <c r="S218" s="160"/>
    </row>
    <row r="219" spans="1:19" x14ac:dyDescent="0.3">
      <c r="A219" s="135"/>
      <c r="B219" s="23"/>
      <c r="C219" s="23"/>
      <c r="D219" s="160"/>
      <c r="F219" s="135"/>
      <c r="G219" s="23"/>
      <c r="H219" s="23"/>
      <c r="I219" s="160"/>
      <c r="K219" s="135"/>
      <c r="L219" s="23"/>
      <c r="M219" s="23"/>
      <c r="N219" s="160"/>
      <c r="P219" s="135"/>
      <c r="Q219" s="23"/>
      <c r="R219" s="23"/>
      <c r="S219" s="160"/>
    </row>
    <row r="220" spans="1:19" x14ac:dyDescent="0.3">
      <c r="A220" s="135"/>
      <c r="B220" s="23"/>
      <c r="C220" s="23"/>
      <c r="D220" s="160"/>
      <c r="F220" s="135"/>
      <c r="G220" s="23"/>
      <c r="H220" s="23"/>
      <c r="I220" s="160"/>
      <c r="K220" s="135"/>
      <c r="L220" s="23"/>
      <c r="M220" s="23"/>
      <c r="N220" s="160"/>
      <c r="P220" s="135"/>
      <c r="Q220" s="23"/>
      <c r="R220" s="23"/>
      <c r="S220" s="160"/>
    </row>
    <row r="221" spans="1:19" x14ac:dyDescent="0.3">
      <c r="A221" s="135"/>
      <c r="B221" s="23"/>
      <c r="C221" s="23"/>
      <c r="D221" s="160"/>
      <c r="F221" s="135"/>
      <c r="G221" s="23"/>
      <c r="H221" s="23"/>
      <c r="I221" s="160"/>
      <c r="K221" s="135"/>
      <c r="L221" s="23"/>
      <c r="M221" s="23"/>
      <c r="N221" s="160"/>
      <c r="P221" s="135"/>
      <c r="Q221" s="23"/>
      <c r="R221" s="23"/>
      <c r="S221" s="160"/>
    </row>
    <row r="222" spans="1:19" x14ac:dyDescent="0.3">
      <c r="A222" s="135"/>
      <c r="B222" s="23"/>
      <c r="C222" s="23"/>
      <c r="D222" s="160"/>
      <c r="F222" s="135"/>
      <c r="G222" s="23"/>
      <c r="H222" s="23"/>
      <c r="I222" s="160"/>
      <c r="K222" s="135"/>
      <c r="L222" s="23"/>
      <c r="M222" s="23"/>
      <c r="N222" s="160"/>
      <c r="P222" s="135"/>
      <c r="Q222" s="23"/>
      <c r="R222" s="23"/>
      <c r="S222" s="160"/>
    </row>
    <row r="223" spans="1:19" x14ac:dyDescent="0.3">
      <c r="A223" s="135"/>
      <c r="B223" s="23"/>
      <c r="C223" s="23"/>
      <c r="D223" s="160"/>
      <c r="F223" s="135"/>
      <c r="G223" s="23"/>
      <c r="H223" s="23"/>
      <c r="I223" s="160"/>
      <c r="K223" s="135"/>
      <c r="L223" s="23"/>
      <c r="M223" s="23"/>
      <c r="N223" s="160"/>
      <c r="P223" s="135"/>
      <c r="Q223" s="23"/>
      <c r="R223" s="23"/>
      <c r="S223" s="160"/>
    </row>
    <row r="224" spans="1:19" x14ac:dyDescent="0.3">
      <c r="A224" s="135"/>
      <c r="B224" s="23"/>
      <c r="C224" s="23"/>
      <c r="D224" s="160"/>
      <c r="F224" s="135"/>
      <c r="G224" s="23"/>
      <c r="H224" s="23"/>
      <c r="I224" s="160"/>
      <c r="K224" s="135"/>
      <c r="L224" s="23"/>
      <c r="M224" s="23"/>
      <c r="N224" s="160"/>
      <c r="P224" s="135"/>
      <c r="Q224" s="23"/>
      <c r="R224" s="23"/>
      <c r="S224" s="160"/>
    </row>
    <row r="225" spans="1:19" x14ac:dyDescent="0.3">
      <c r="A225" s="135"/>
      <c r="B225" s="23"/>
      <c r="C225" s="23"/>
      <c r="D225" s="160"/>
      <c r="F225" s="135"/>
      <c r="G225" s="23"/>
      <c r="H225" s="23"/>
      <c r="I225" s="160"/>
      <c r="K225" s="135"/>
      <c r="L225" s="23"/>
      <c r="M225" s="23"/>
      <c r="N225" s="160"/>
      <c r="P225" s="135"/>
      <c r="Q225" s="23"/>
      <c r="R225" s="23"/>
      <c r="S225" s="160"/>
    </row>
    <row r="226" spans="1:19" x14ac:dyDescent="0.3">
      <c r="A226" s="135"/>
      <c r="B226" s="23"/>
      <c r="C226" s="23"/>
      <c r="D226" s="160"/>
      <c r="F226" s="135"/>
      <c r="G226" s="23"/>
      <c r="H226" s="23"/>
      <c r="I226" s="160"/>
      <c r="K226" s="135"/>
      <c r="L226" s="23"/>
      <c r="M226" s="23"/>
      <c r="N226" s="160"/>
      <c r="P226" s="135"/>
      <c r="Q226" s="23"/>
      <c r="R226" s="23"/>
      <c r="S226" s="160"/>
    </row>
    <row r="227" spans="1:19" x14ac:dyDescent="0.3">
      <c r="A227" s="135"/>
      <c r="B227" s="23"/>
      <c r="C227" s="23"/>
      <c r="D227" s="160"/>
      <c r="F227" s="135"/>
      <c r="G227" s="23"/>
      <c r="H227" s="23"/>
      <c r="I227" s="160"/>
      <c r="K227" s="135"/>
      <c r="L227" s="23"/>
      <c r="M227" s="23"/>
      <c r="N227" s="160"/>
      <c r="P227" s="135"/>
      <c r="Q227" s="23"/>
      <c r="R227" s="23"/>
      <c r="S227" s="160"/>
    </row>
    <row r="228" spans="1:19" x14ac:dyDescent="0.3">
      <c r="A228" s="135"/>
      <c r="B228" s="23"/>
      <c r="C228" s="23"/>
      <c r="D228" s="160"/>
      <c r="F228" s="135"/>
      <c r="G228" s="23"/>
      <c r="H228" s="23"/>
      <c r="I228" s="160"/>
      <c r="K228" s="135"/>
      <c r="L228" s="23"/>
      <c r="M228" s="23"/>
      <c r="N228" s="160"/>
      <c r="P228" s="135"/>
      <c r="Q228" s="23"/>
      <c r="R228" s="23"/>
      <c r="S228" s="160"/>
    </row>
    <row r="229" spans="1:19" x14ac:dyDescent="0.3">
      <c r="A229" s="135"/>
      <c r="B229" s="23"/>
      <c r="C229" s="23"/>
      <c r="D229" s="160"/>
      <c r="F229" s="135"/>
      <c r="G229" s="23"/>
      <c r="H229" s="23"/>
      <c r="I229" s="160"/>
      <c r="K229" s="135"/>
      <c r="L229" s="23"/>
      <c r="M229" s="23"/>
      <c r="N229" s="160"/>
      <c r="P229" s="135"/>
      <c r="Q229" s="23"/>
      <c r="R229" s="23"/>
      <c r="S229" s="160"/>
    </row>
    <row r="230" spans="1:19" x14ac:dyDescent="0.3">
      <c r="A230" s="135"/>
      <c r="B230" s="23"/>
      <c r="C230" s="23"/>
      <c r="D230" s="160"/>
      <c r="F230" s="135"/>
      <c r="G230" s="23"/>
      <c r="H230" s="23"/>
      <c r="I230" s="160"/>
      <c r="K230" s="135"/>
      <c r="L230" s="23"/>
      <c r="M230" s="23"/>
      <c r="N230" s="160"/>
      <c r="P230" s="135"/>
      <c r="Q230" s="23"/>
      <c r="R230" s="23"/>
      <c r="S230" s="160"/>
    </row>
    <row r="231" spans="1:19" x14ac:dyDescent="0.3">
      <c r="A231" s="135"/>
      <c r="B231" s="23"/>
      <c r="C231" s="23"/>
      <c r="D231" s="160"/>
      <c r="F231" s="135"/>
      <c r="G231" s="23"/>
      <c r="H231" s="23"/>
      <c r="I231" s="160"/>
      <c r="K231" s="135"/>
      <c r="L231" s="23"/>
      <c r="M231" s="23"/>
      <c r="N231" s="160"/>
      <c r="P231" s="135"/>
      <c r="Q231" s="23"/>
      <c r="R231" s="23"/>
      <c r="S231" s="160"/>
    </row>
    <row r="232" spans="1:19" x14ac:dyDescent="0.3">
      <c r="A232" s="135"/>
      <c r="B232" s="23"/>
      <c r="C232" s="23"/>
      <c r="D232" s="160"/>
      <c r="F232" s="135"/>
      <c r="G232" s="23"/>
      <c r="H232" s="23"/>
      <c r="I232" s="160"/>
      <c r="K232" s="135"/>
      <c r="L232" s="23"/>
      <c r="M232" s="23"/>
      <c r="N232" s="160"/>
      <c r="P232" s="135"/>
      <c r="Q232" s="23"/>
      <c r="R232" s="23"/>
      <c r="S232" s="160"/>
    </row>
    <row r="233" spans="1:19" x14ac:dyDescent="0.3">
      <c r="A233" s="135"/>
      <c r="B233" s="23"/>
      <c r="C233" s="23"/>
      <c r="D233" s="160"/>
      <c r="F233" s="135"/>
      <c r="G233" s="23"/>
      <c r="H233" s="23"/>
      <c r="I233" s="160"/>
      <c r="K233" s="135"/>
      <c r="L233" s="23"/>
      <c r="M233" s="23"/>
      <c r="N233" s="160"/>
      <c r="P233" s="135"/>
      <c r="Q233" s="23"/>
      <c r="R233" s="23"/>
      <c r="S233" s="160"/>
    </row>
    <row r="234" spans="1:19" ht="15" thickBot="1" x14ac:dyDescent="0.35">
      <c r="A234" s="135"/>
      <c r="B234" s="23"/>
      <c r="C234" s="23"/>
      <c r="D234" s="160"/>
      <c r="F234" s="135"/>
      <c r="G234" s="23"/>
      <c r="H234" s="23"/>
      <c r="I234" s="160"/>
      <c r="K234" s="161"/>
      <c r="L234" s="162"/>
      <c r="M234" s="162"/>
      <c r="N234" s="163"/>
      <c r="P234" s="161"/>
      <c r="Q234" s="162"/>
      <c r="R234" s="162"/>
      <c r="S234" s="163"/>
    </row>
    <row r="235" spans="1:19" x14ac:dyDescent="0.3">
      <c r="A235" s="135"/>
      <c r="B235" s="23"/>
      <c r="C235" s="23"/>
      <c r="D235" s="160"/>
      <c r="F235" s="135"/>
      <c r="G235" s="23"/>
      <c r="H235" s="23"/>
      <c r="I235" s="160"/>
    </row>
    <row r="236" spans="1:19" x14ac:dyDescent="0.3">
      <c r="A236" s="135"/>
      <c r="B236" s="23"/>
      <c r="C236" s="23"/>
      <c r="D236" s="160"/>
      <c r="F236" s="135"/>
      <c r="G236" s="23"/>
      <c r="H236" s="23"/>
      <c r="I236" s="160"/>
    </row>
    <row r="237" spans="1:19" x14ac:dyDescent="0.3">
      <c r="A237" s="135"/>
      <c r="B237" s="23"/>
      <c r="C237" s="23"/>
      <c r="D237" s="160"/>
      <c r="F237" s="135"/>
      <c r="G237" s="23"/>
      <c r="H237" s="23"/>
      <c r="I237" s="160"/>
    </row>
    <row r="238" spans="1:19" x14ac:dyDescent="0.3">
      <c r="A238" s="135"/>
      <c r="B238" s="23"/>
      <c r="C238" s="23"/>
      <c r="D238" s="160"/>
      <c r="F238" s="135"/>
      <c r="G238" s="23"/>
      <c r="H238" s="23"/>
      <c r="I238" s="160"/>
    </row>
    <row r="239" spans="1:19" x14ac:dyDescent="0.3">
      <c r="A239" s="135"/>
      <c r="B239" s="23"/>
      <c r="C239" s="23"/>
      <c r="D239" s="160"/>
      <c r="F239" s="135"/>
      <c r="G239" s="23"/>
      <c r="H239" s="23"/>
      <c r="I239" s="160"/>
    </row>
    <row r="240" spans="1:19" x14ac:dyDescent="0.3">
      <c r="A240" s="135"/>
      <c r="B240" s="23"/>
      <c r="C240" s="23"/>
      <c r="D240" s="160"/>
      <c r="F240" s="135"/>
      <c r="G240" s="23"/>
      <c r="H240" s="23"/>
      <c r="I240" s="160"/>
    </row>
    <row r="241" spans="1:9" x14ac:dyDescent="0.3">
      <c r="A241" s="135"/>
      <c r="B241" s="23"/>
      <c r="C241" s="23"/>
      <c r="D241" s="160"/>
      <c r="F241" s="135"/>
      <c r="G241" s="23"/>
      <c r="H241" s="23"/>
      <c r="I241" s="160"/>
    </row>
    <row r="242" spans="1:9" x14ac:dyDescent="0.3">
      <c r="A242" s="135"/>
      <c r="B242" s="23"/>
      <c r="C242" s="23"/>
      <c r="D242" s="160"/>
      <c r="F242" s="135"/>
      <c r="G242" s="23"/>
      <c r="H242" s="23"/>
      <c r="I242" s="160"/>
    </row>
    <row r="243" spans="1:9" x14ac:dyDescent="0.3">
      <c r="A243" s="135"/>
      <c r="B243" s="23"/>
      <c r="C243" s="23"/>
      <c r="D243" s="160"/>
      <c r="F243" s="135"/>
      <c r="G243" s="23"/>
      <c r="H243" s="23"/>
      <c r="I243" s="160"/>
    </row>
    <row r="244" spans="1:9" x14ac:dyDescent="0.3">
      <c r="A244" s="135"/>
      <c r="B244" s="23"/>
      <c r="C244" s="23"/>
      <c r="D244" s="160"/>
      <c r="F244" s="135"/>
      <c r="G244" s="23"/>
      <c r="H244" s="23"/>
      <c r="I244" s="160"/>
    </row>
    <row r="245" spans="1:9" x14ac:dyDescent="0.3">
      <c r="A245" s="135"/>
      <c r="B245" s="23"/>
      <c r="C245" s="23"/>
      <c r="D245" s="160"/>
      <c r="F245" s="135"/>
      <c r="G245" s="23"/>
      <c r="H245" s="23"/>
      <c r="I245" s="160"/>
    </row>
    <row r="246" spans="1:9" x14ac:dyDescent="0.3">
      <c r="A246" s="135"/>
      <c r="B246" s="23"/>
      <c r="C246" s="23"/>
      <c r="D246" s="160"/>
      <c r="F246" s="135"/>
      <c r="G246" s="23"/>
      <c r="H246" s="23"/>
      <c r="I246" s="160"/>
    </row>
    <row r="247" spans="1:9" x14ac:dyDescent="0.3">
      <c r="A247" s="135"/>
      <c r="B247" s="23"/>
      <c r="C247" s="23"/>
      <c r="D247" s="160"/>
      <c r="F247" s="135"/>
      <c r="G247" s="23"/>
      <c r="H247" s="23"/>
      <c r="I247" s="160"/>
    </row>
    <row r="248" spans="1:9" x14ac:dyDescent="0.3">
      <c r="A248" s="135"/>
      <c r="B248" s="23"/>
      <c r="C248" s="23"/>
      <c r="D248" s="160"/>
      <c r="F248" s="135"/>
      <c r="G248" s="23"/>
      <c r="H248" s="23"/>
      <c r="I248" s="160"/>
    </row>
    <row r="249" spans="1:9" x14ac:dyDescent="0.3">
      <c r="A249" s="135"/>
      <c r="B249" s="23"/>
      <c r="C249" s="23"/>
      <c r="D249" s="160"/>
      <c r="F249" s="135"/>
      <c r="G249" s="23"/>
      <c r="H249" s="23"/>
      <c r="I249" s="160"/>
    </row>
    <row r="250" spans="1:9" x14ac:dyDescent="0.3">
      <c r="A250" s="135"/>
      <c r="B250" s="23"/>
      <c r="C250" s="23"/>
      <c r="D250" s="160"/>
      <c r="F250" s="135"/>
      <c r="G250" s="23"/>
      <c r="H250" s="23"/>
      <c r="I250" s="160"/>
    </row>
    <row r="251" spans="1:9" x14ac:dyDescent="0.3">
      <c r="A251" s="135"/>
      <c r="B251" s="23"/>
      <c r="C251" s="23"/>
      <c r="D251" s="160"/>
      <c r="F251" s="135"/>
      <c r="G251" s="23"/>
      <c r="H251" s="23"/>
      <c r="I251" s="160"/>
    </row>
    <row r="252" spans="1:9" x14ac:dyDescent="0.3">
      <c r="A252" s="135"/>
      <c r="B252" s="23"/>
      <c r="C252" s="23"/>
      <c r="D252" s="160"/>
      <c r="F252" s="135"/>
      <c r="G252" s="23"/>
      <c r="H252" s="23"/>
      <c r="I252" s="160"/>
    </row>
    <row r="253" spans="1:9" x14ac:dyDescent="0.3">
      <c r="A253" s="135"/>
      <c r="B253" s="23"/>
      <c r="C253" s="23"/>
      <c r="D253" s="160"/>
      <c r="F253" s="135"/>
      <c r="G253" s="23"/>
      <c r="H253" s="23"/>
      <c r="I253" s="160"/>
    </row>
    <row r="254" spans="1:9" x14ac:dyDescent="0.3">
      <c r="A254" s="135"/>
      <c r="B254" s="23"/>
      <c r="C254" s="23"/>
      <c r="D254" s="160"/>
      <c r="F254" s="135"/>
      <c r="G254" s="23"/>
      <c r="H254" s="23"/>
      <c r="I254" s="160"/>
    </row>
    <row r="255" spans="1:9" x14ac:dyDescent="0.3">
      <c r="A255" s="135"/>
      <c r="B255" s="23"/>
      <c r="C255" s="23"/>
      <c r="D255" s="160"/>
      <c r="F255" s="135"/>
      <c r="G255" s="23"/>
      <c r="H255" s="23"/>
      <c r="I255" s="160"/>
    </row>
    <row r="256" spans="1:9" x14ac:dyDescent="0.3">
      <c r="A256" s="135"/>
      <c r="B256" s="23"/>
      <c r="C256" s="23"/>
      <c r="D256" s="160"/>
      <c r="F256" s="135"/>
      <c r="G256" s="23"/>
      <c r="H256" s="23"/>
      <c r="I256" s="160"/>
    </row>
    <row r="257" spans="1:9" x14ac:dyDescent="0.3">
      <c r="A257" s="135"/>
      <c r="B257" s="23"/>
      <c r="C257" s="23"/>
      <c r="D257" s="160"/>
      <c r="F257" s="135"/>
      <c r="G257" s="23"/>
      <c r="H257" s="23"/>
      <c r="I257" s="160"/>
    </row>
    <row r="258" spans="1:9" x14ac:dyDescent="0.3">
      <c r="A258" s="135"/>
      <c r="B258" s="23"/>
      <c r="C258" s="23"/>
      <c r="D258" s="160"/>
      <c r="F258" s="135"/>
      <c r="G258" s="23"/>
      <c r="H258" s="23"/>
      <c r="I258" s="160"/>
    </row>
    <row r="259" spans="1:9" x14ac:dyDescent="0.3">
      <c r="A259" s="135"/>
      <c r="B259" s="23"/>
      <c r="C259" s="23"/>
      <c r="D259" s="160"/>
      <c r="F259" s="135"/>
      <c r="G259" s="23"/>
      <c r="H259" s="23"/>
      <c r="I259" s="160"/>
    </row>
    <row r="260" spans="1:9" x14ac:dyDescent="0.3">
      <c r="A260" s="135"/>
      <c r="B260" s="23"/>
      <c r="C260" s="23"/>
      <c r="D260" s="160"/>
      <c r="F260" s="135"/>
      <c r="G260" s="23"/>
      <c r="H260" s="23"/>
      <c r="I260" s="160"/>
    </row>
    <row r="261" spans="1:9" x14ac:dyDescent="0.3">
      <c r="A261" s="135"/>
      <c r="B261" s="23"/>
      <c r="C261" s="23"/>
      <c r="D261" s="160"/>
      <c r="F261" s="135"/>
      <c r="G261" s="23"/>
      <c r="H261" s="23"/>
      <c r="I261" s="160"/>
    </row>
    <row r="262" spans="1:9" x14ac:dyDescent="0.3">
      <c r="A262" s="135"/>
      <c r="B262" s="23"/>
      <c r="C262" s="23"/>
      <c r="D262" s="160"/>
      <c r="F262" s="135"/>
      <c r="G262" s="23"/>
      <c r="H262" s="23"/>
      <c r="I262" s="160"/>
    </row>
    <row r="263" spans="1:9" x14ac:dyDescent="0.3">
      <c r="A263" s="135"/>
      <c r="B263" s="23"/>
      <c r="C263" s="23"/>
      <c r="D263" s="160"/>
      <c r="F263" s="135"/>
      <c r="G263" s="23"/>
      <c r="H263" s="23"/>
      <c r="I263" s="160"/>
    </row>
    <row r="264" spans="1:9" x14ac:dyDescent="0.3">
      <c r="A264" s="135"/>
      <c r="B264" s="23"/>
      <c r="C264" s="23"/>
      <c r="D264" s="160"/>
      <c r="F264" s="135"/>
      <c r="G264" s="23"/>
      <c r="H264" s="23"/>
      <c r="I264" s="160"/>
    </row>
    <row r="265" spans="1:9" x14ac:dyDescent="0.3">
      <c r="A265" s="135"/>
      <c r="B265" s="23"/>
      <c r="C265" s="23"/>
      <c r="D265" s="160"/>
      <c r="F265" s="135"/>
      <c r="G265" s="23"/>
      <c r="H265" s="23"/>
      <c r="I265" s="160"/>
    </row>
    <row r="266" spans="1:9" x14ac:dyDescent="0.3">
      <c r="A266" s="135"/>
      <c r="B266" s="23"/>
      <c r="C266" s="23"/>
      <c r="D266" s="160"/>
      <c r="F266" s="135"/>
      <c r="G266" s="23"/>
      <c r="H266" s="23"/>
      <c r="I266" s="160"/>
    </row>
    <row r="267" spans="1:9" x14ac:dyDescent="0.3">
      <c r="A267" s="135"/>
      <c r="B267" s="23"/>
      <c r="C267" s="23"/>
      <c r="D267" s="160"/>
      <c r="F267" s="135"/>
      <c r="G267" s="23"/>
      <c r="H267" s="23"/>
      <c r="I267" s="160"/>
    </row>
    <row r="268" spans="1:9" x14ac:dyDescent="0.3">
      <c r="A268" s="135"/>
      <c r="B268" s="23"/>
      <c r="C268" s="23"/>
      <c r="D268" s="160"/>
      <c r="F268" s="135"/>
      <c r="G268" s="23"/>
      <c r="H268" s="23"/>
      <c r="I268" s="160"/>
    </row>
    <row r="269" spans="1:9" x14ac:dyDescent="0.3">
      <c r="A269" s="135"/>
      <c r="B269" s="23"/>
      <c r="C269" s="23"/>
      <c r="D269" s="160"/>
      <c r="F269" s="135"/>
      <c r="G269" s="23"/>
      <c r="H269" s="23"/>
      <c r="I269" s="160"/>
    </row>
    <row r="270" spans="1:9" x14ac:dyDescent="0.3">
      <c r="A270" s="135"/>
      <c r="B270" s="23"/>
      <c r="C270" s="23"/>
      <c r="D270" s="160"/>
      <c r="F270" s="135"/>
      <c r="G270" s="23"/>
      <c r="H270" s="23"/>
      <c r="I270" s="160"/>
    </row>
    <row r="271" spans="1:9" x14ac:dyDescent="0.3">
      <c r="A271" s="135"/>
      <c r="B271" s="23"/>
      <c r="C271" s="23"/>
      <c r="D271" s="160"/>
      <c r="F271" s="135"/>
      <c r="G271" s="23"/>
      <c r="H271" s="23"/>
      <c r="I271" s="160"/>
    </row>
    <row r="272" spans="1:9" x14ac:dyDescent="0.3">
      <c r="A272" s="135"/>
      <c r="B272" s="23"/>
      <c r="C272" s="23"/>
      <c r="D272" s="160"/>
      <c r="F272" s="135"/>
      <c r="G272" s="23"/>
      <c r="H272" s="23"/>
      <c r="I272" s="160"/>
    </row>
    <row r="273" spans="1:9" x14ac:dyDescent="0.3">
      <c r="A273" s="135"/>
      <c r="B273" s="23"/>
      <c r="C273" s="23"/>
      <c r="D273" s="160"/>
      <c r="F273" s="135"/>
      <c r="G273" s="23"/>
      <c r="H273" s="23"/>
      <c r="I273" s="160"/>
    </row>
    <row r="274" spans="1:9" x14ac:dyDescent="0.3">
      <c r="A274" s="135"/>
      <c r="B274" s="23"/>
      <c r="C274" s="23"/>
      <c r="D274" s="160"/>
      <c r="F274" s="135"/>
      <c r="G274" s="23"/>
      <c r="H274" s="23"/>
      <c r="I274" s="160"/>
    </row>
    <row r="275" spans="1:9" x14ac:dyDescent="0.3">
      <c r="A275" s="135"/>
      <c r="B275" s="23"/>
      <c r="C275" s="23"/>
      <c r="D275" s="160"/>
      <c r="F275" s="135"/>
      <c r="G275" s="23"/>
      <c r="H275" s="23"/>
      <c r="I275" s="160"/>
    </row>
    <row r="276" spans="1:9" x14ac:dyDescent="0.3">
      <c r="A276" s="135"/>
      <c r="B276" s="23"/>
      <c r="C276" s="23"/>
      <c r="D276" s="160"/>
      <c r="F276" s="135"/>
      <c r="G276" s="23"/>
      <c r="H276" s="23"/>
      <c r="I276" s="160"/>
    </row>
    <row r="277" spans="1:9" x14ac:dyDescent="0.3">
      <c r="A277" s="135"/>
      <c r="B277" s="23"/>
      <c r="C277" s="23"/>
      <c r="D277" s="160"/>
      <c r="F277" s="135"/>
      <c r="G277" s="23"/>
      <c r="H277" s="23"/>
      <c r="I277" s="160"/>
    </row>
    <row r="278" spans="1:9" x14ac:dyDescent="0.3">
      <c r="A278" s="135"/>
      <c r="B278" s="23"/>
      <c r="C278" s="23"/>
      <c r="D278" s="160"/>
      <c r="F278" s="135"/>
      <c r="G278" s="23"/>
      <c r="H278" s="23"/>
      <c r="I278" s="160"/>
    </row>
    <row r="279" spans="1:9" x14ac:dyDescent="0.3">
      <c r="A279" s="135"/>
      <c r="B279" s="23"/>
      <c r="C279" s="23"/>
      <c r="D279" s="160"/>
      <c r="F279" s="135"/>
      <c r="G279" s="23"/>
      <c r="H279" s="23"/>
      <c r="I279" s="160"/>
    </row>
    <row r="280" spans="1:9" x14ac:dyDescent="0.3">
      <c r="A280" s="135"/>
      <c r="B280" s="23"/>
      <c r="C280" s="23"/>
      <c r="D280" s="160"/>
      <c r="F280" s="135"/>
      <c r="G280" s="23"/>
      <c r="H280" s="23"/>
      <c r="I280" s="160"/>
    </row>
    <row r="281" spans="1:9" x14ac:dyDescent="0.3">
      <c r="A281" s="135"/>
      <c r="B281" s="23"/>
      <c r="C281" s="23"/>
      <c r="D281" s="160"/>
      <c r="F281" s="135"/>
      <c r="G281" s="23"/>
      <c r="H281" s="23"/>
      <c r="I281" s="160"/>
    </row>
    <row r="282" spans="1:9" x14ac:dyDescent="0.3">
      <c r="A282" s="135"/>
      <c r="B282" s="23"/>
      <c r="C282" s="23"/>
      <c r="D282" s="160"/>
      <c r="F282" s="135"/>
      <c r="G282" s="23"/>
      <c r="H282" s="23"/>
      <c r="I282" s="160"/>
    </row>
    <row r="283" spans="1:9" x14ac:dyDescent="0.3">
      <c r="A283" s="135"/>
      <c r="B283" s="23"/>
      <c r="C283" s="23"/>
      <c r="D283" s="160"/>
      <c r="F283" s="135"/>
      <c r="G283" s="23"/>
      <c r="H283" s="23"/>
      <c r="I283" s="160"/>
    </row>
    <row r="284" spans="1:9" x14ac:dyDescent="0.3">
      <c r="A284" s="135"/>
      <c r="B284" s="23"/>
      <c r="C284" s="23"/>
      <c r="D284" s="160"/>
      <c r="F284" s="135"/>
      <c r="G284" s="23"/>
      <c r="H284" s="23"/>
      <c r="I284" s="160"/>
    </row>
    <row r="285" spans="1:9" x14ac:dyDescent="0.3">
      <c r="A285" s="135"/>
      <c r="B285" s="23"/>
      <c r="C285" s="23"/>
      <c r="D285" s="160"/>
      <c r="F285" s="135"/>
      <c r="G285" s="23"/>
      <c r="H285" s="23"/>
      <c r="I285" s="160"/>
    </row>
    <row r="286" spans="1:9" x14ac:dyDescent="0.3">
      <c r="A286" s="135"/>
      <c r="B286" s="23"/>
      <c r="C286" s="23"/>
      <c r="D286" s="160"/>
      <c r="F286" s="135"/>
      <c r="G286" s="23"/>
      <c r="H286" s="23"/>
      <c r="I286" s="160"/>
    </row>
    <row r="287" spans="1:9" x14ac:dyDescent="0.3">
      <c r="A287" s="135"/>
      <c r="B287" s="23"/>
      <c r="C287" s="23"/>
      <c r="D287" s="160"/>
      <c r="F287" s="135"/>
      <c r="G287" s="23"/>
      <c r="H287" s="23"/>
      <c r="I287" s="160"/>
    </row>
    <row r="288" spans="1:9" x14ac:dyDescent="0.3">
      <c r="A288" s="135"/>
      <c r="B288" s="23"/>
      <c r="C288" s="23"/>
      <c r="D288" s="160"/>
      <c r="F288" s="135"/>
      <c r="G288" s="23"/>
      <c r="H288" s="23"/>
      <c r="I288" s="160"/>
    </row>
    <row r="289" spans="1:9" x14ac:dyDescent="0.3">
      <c r="A289" s="135"/>
      <c r="B289" s="23"/>
      <c r="C289" s="23"/>
      <c r="D289" s="160"/>
      <c r="F289" s="135"/>
      <c r="G289" s="23"/>
      <c r="H289" s="23"/>
      <c r="I289" s="160"/>
    </row>
    <row r="290" spans="1:9" x14ac:dyDescent="0.3">
      <c r="A290" s="135"/>
      <c r="B290" s="23"/>
      <c r="C290" s="23"/>
      <c r="D290" s="160"/>
      <c r="F290" s="135"/>
      <c r="G290" s="23"/>
      <c r="H290" s="23"/>
      <c r="I290" s="160"/>
    </row>
    <row r="291" spans="1:9" x14ac:dyDescent="0.3">
      <c r="A291" s="135"/>
      <c r="B291" s="23"/>
      <c r="C291" s="23"/>
      <c r="D291" s="160"/>
      <c r="F291" s="135"/>
      <c r="G291" s="23"/>
      <c r="H291" s="23"/>
      <c r="I291" s="160"/>
    </row>
    <row r="292" spans="1:9" x14ac:dyDescent="0.3">
      <c r="A292" s="135"/>
      <c r="B292" s="23"/>
      <c r="C292" s="23"/>
      <c r="D292" s="160"/>
      <c r="F292" s="135"/>
      <c r="G292" s="23"/>
      <c r="H292" s="23"/>
      <c r="I292" s="160"/>
    </row>
    <row r="293" spans="1:9" x14ac:dyDescent="0.3">
      <c r="A293" s="135"/>
      <c r="B293" s="23"/>
      <c r="C293" s="23"/>
      <c r="D293" s="160"/>
      <c r="F293" s="135"/>
      <c r="G293" s="23"/>
      <c r="H293" s="23"/>
      <c r="I293" s="160"/>
    </row>
    <row r="294" spans="1:9" x14ac:dyDescent="0.3">
      <c r="A294" s="135"/>
      <c r="B294" s="23"/>
      <c r="C294" s="23"/>
      <c r="D294" s="160"/>
      <c r="F294" s="135"/>
      <c r="G294" s="23"/>
      <c r="H294" s="23"/>
      <c r="I294" s="160"/>
    </row>
    <row r="295" spans="1:9" x14ac:dyDescent="0.3">
      <c r="A295" s="135"/>
      <c r="B295" s="23"/>
      <c r="C295" s="23"/>
      <c r="D295" s="160"/>
      <c r="F295" s="135"/>
      <c r="G295" s="23"/>
      <c r="H295" s="23"/>
      <c r="I295" s="160"/>
    </row>
    <row r="296" spans="1:9" x14ac:dyDescent="0.3">
      <c r="A296" s="135"/>
      <c r="B296" s="23"/>
      <c r="C296" s="23"/>
      <c r="D296" s="160"/>
      <c r="F296" s="135"/>
      <c r="G296" s="23"/>
      <c r="H296" s="23"/>
      <c r="I296" s="160"/>
    </row>
    <row r="297" spans="1:9" x14ac:dyDescent="0.3">
      <c r="A297" s="135"/>
      <c r="B297" s="23"/>
      <c r="C297" s="23"/>
      <c r="D297" s="160"/>
      <c r="F297" s="135"/>
      <c r="G297" s="23"/>
      <c r="H297" s="23"/>
      <c r="I297" s="160"/>
    </row>
    <row r="298" spans="1:9" x14ac:dyDescent="0.3">
      <c r="A298" s="135"/>
      <c r="B298" s="23"/>
      <c r="C298" s="23"/>
      <c r="D298" s="160"/>
      <c r="F298" s="135"/>
      <c r="G298" s="23"/>
      <c r="H298" s="23"/>
      <c r="I298" s="160"/>
    </row>
    <row r="299" spans="1:9" x14ac:dyDescent="0.3">
      <c r="A299" s="135"/>
      <c r="B299" s="23"/>
      <c r="C299" s="23"/>
      <c r="D299" s="160"/>
      <c r="F299" s="135"/>
      <c r="G299" s="23"/>
      <c r="H299" s="23"/>
      <c r="I299" s="160"/>
    </row>
    <row r="300" spans="1:9" x14ac:dyDescent="0.3">
      <c r="A300" s="135"/>
      <c r="B300" s="23"/>
      <c r="C300" s="23"/>
      <c r="D300" s="160"/>
      <c r="F300" s="135"/>
      <c r="G300" s="23"/>
      <c r="H300" s="23"/>
      <c r="I300" s="160"/>
    </row>
    <row r="301" spans="1:9" x14ac:dyDescent="0.3">
      <c r="A301" s="135"/>
      <c r="B301" s="23"/>
      <c r="C301" s="23"/>
      <c r="D301" s="160"/>
      <c r="F301" s="135"/>
      <c r="G301" s="23"/>
      <c r="H301" s="23"/>
      <c r="I301" s="160"/>
    </row>
    <row r="302" spans="1:9" x14ac:dyDescent="0.3">
      <c r="A302" s="135"/>
      <c r="B302" s="23"/>
      <c r="C302" s="23"/>
      <c r="D302" s="160"/>
      <c r="F302" s="135"/>
      <c r="G302" s="23"/>
      <c r="H302" s="23"/>
      <c r="I302" s="160"/>
    </row>
    <row r="303" spans="1:9" x14ac:dyDescent="0.3">
      <c r="A303" s="135"/>
      <c r="B303" s="23"/>
      <c r="C303" s="23"/>
      <c r="D303" s="160"/>
      <c r="F303" s="135"/>
      <c r="G303" s="23"/>
      <c r="H303" s="23"/>
      <c r="I303" s="160"/>
    </row>
    <row r="304" spans="1:9" x14ac:dyDescent="0.3">
      <c r="A304" s="135"/>
      <c r="B304" s="23"/>
      <c r="C304" s="23"/>
      <c r="D304" s="160"/>
      <c r="F304" s="135"/>
      <c r="G304" s="23"/>
      <c r="H304" s="23"/>
      <c r="I304" s="160"/>
    </row>
    <row r="305" spans="1:9" x14ac:dyDescent="0.3">
      <c r="A305" s="135"/>
      <c r="B305" s="23"/>
      <c r="C305" s="23"/>
      <c r="D305" s="160"/>
      <c r="F305" s="135"/>
      <c r="G305" s="23"/>
      <c r="H305" s="23"/>
      <c r="I305" s="160"/>
    </row>
    <row r="306" spans="1:9" x14ac:dyDescent="0.3">
      <c r="A306" s="135"/>
      <c r="B306" s="23"/>
      <c r="C306" s="23"/>
      <c r="D306" s="160"/>
      <c r="F306" s="135"/>
      <c r="G306" s="23"/>
      <c r="H306" s="23"/>
      <c r="I306" s="160"/>
    </row>
    <row r="307" spans="1:9" x14ac:dyDescent="0.3">
      <c r="A307" s="135"/>
      <c r="B307" s="23"/>
      <c r="C307" s="23"/>
      <c r="D307" s="160"/>
      <c r="F307" s="135"/>
      <c r="G307" s="23"/>
      <c r="H307" s="23"/>
      <c r="I307" s="160"/>
    </row>
    <row r="308" spans="1:9" x14ac:dyDescent="0.3">
      <c r="A308" s="135"/>
      <c r="B308" s="23"/>
      <c r="C308" s="23"/>
      <c r="D308" s="160"/>
      <c r="F308" s="135"/>
      <c r="G308" s="23"/>
      <c r="H308" s="23"/>
      <c r="I308" s="160"/>
    </row>
    <row r="309" spans="1:9" x14ac:dyDescent="0.3">
      <c r="A309" s="135"/>
      <c r="B309" s="23"/>
      <c r="C309" s="23"/>
      <c r="D309" s="160"/>
      <c r="F309" s="135"/>
      <c r="G309" s="23"/>
      <c r="H309" s="23"/>
      <c r="I309" s="160"/>
    </row>
    <row r="310" spans="1:9" x14ac:dyDescent="0.3">
      <c r="A310" s="135"/>
      <c r="B310" s="23"/>
      <c r="C310" s="23"/>
      <c r="D310" s="160"/>
      <c r="F310" s="135"/>
      <c r="G310" s="23"/>
      <c r="H310" s="23"/>
      <c r="I310" s="160"/>
    </row>
    <row r="311" spans="1:9" x14ac:dyDescent="0.3">
      <c r="A311" s="135"/>
      <c r="B311" s="23"/>
      <c r="C311" s="23"/>
      <c r="D311" s="160"/>
      <c r="F311" s="135"/>
      <c r="G311" s="23"/>
      <c r="H311" s="23"/>
      <c r="I311" s="160"/>
    </row>
    <row r="312" spans="1:9" x14ac:dyDescent="0.3">
      <c r="A312" s="135"/>
      <c r="B312" s="23"/>
      <c r="C312" s="23"/>
      <c r="D312" s="160"/>
      <c r="F312" s="135"/>
      <c r="G312" s="23"/>
      <c r="H312" s="23"/>
      <c r="I312" s="160"/>
    </row>
    <row r="313" spans="1:9" x14ac:dyDescent="0.3">
      <c r="A313" s="135"/>
      <c r="B313" s="23"/>
      <c r="C313" s="23"/>
      <c r="D313" s="160"/>
      <c r="F313" s="135"/>
      <c r="G313" s="23"/>
      <c r="H313" s="23"/>
      <c r="I313" s="160"/>
    </row>
    <row r="314" spans="1:9" x14ac:dyDescent="0.3">
      <c r="A314" s="135"/>
      <c r="B314" s="23"/>
      <c r="C314" s="23"/>
      <c r="D314" s="160"/>
      <c r="F314" s="135"/>
      <c r="G314" s="23"/>
      <c r="H314" s="23"/>
      <c r="I314" s="160"/>
    </row>
    <row r="315" spans="1:9" x14ac:dyDescent="0.3">
      <c r="A315" s="135"/>
      <c r="B315" s="23"/>
      <c r="C315" s="23"/>
      <c r="D315" s="160"/>
      <c r="F315" s="135"/>
      <c r="G315" s="23"/>
      <c r="H315" s="23"/>
      <c r="I315" s="160"/>
    </row>
    <row r="316" spans="1:9" x14ac:dyDescent="0.3">
      <c r="A316" s="135"/>
      <c r="B316" s="23"/>
      <c r="C316" s="23"/>
      <c r="D316" s="160"/>
      <c r="F316" s="135"/>
      <c r="G316" s="23"/>
      <c r="H316" s="23"/>
      <c r="I316" s="160"/>
    </row>
    <row r="317" spans="1:9" x14ac:dyDescent="0.3">
      <c r="A317" s="135"/>
      <c r="B317" s="23"/>
      <c r="C317" s="23"/>
      <c r="D317" s="160"/>
      <c r="F317" s="135"/>
      <c r="G317" s="23"/>
      <c r="H317" s="23"/>
      <c r="I317" s="160"/>
    </row>
    <row r="318" spans="1:9" x14ac:dyDescent="0.3">
      <c r="A318" s="135"/>
      <c r="B318" s="23"/>
      <c r="C318" s="23"/>
      <c r="D318" s="160"/>
      <c r="F318" s="135"/>
      <c r="G318" s="23"/>
      <c r="H318" s="23"/>
      <c r="I318" s="160"/>
    </row>
    <row r="319" spans="1:9" x14ac:dyDescent="0.3">
      <c r="A319" s="135"/>
      <c r="B319" s="23"/>
      <c r="C319" s="23"/>
      <c r="D319" s="160"/>
      <c r="F319" s="135"/>
      <c r="G319" s="23"/>
      <c r="H319" s="23"/>
      <c r="I319" s="160"/>
    </row>
    <row r="320" spans="1:9" x14ac:dyDescent="0.3">
      <c r="A320" s="135"/>
      <c r="B320" s="23"/>
      <c r="C320" s="23"/>
      <c r="D320" s="160"/>
      <c r="F320" s="135"/>
      <c r="G320" s="23"/>
      <c r="H320" s="23"/>
      <c r="I320" s="160"/>
    </row>
    <row r="321" spans="1:9" x14ac:dyDescent="0.3">
      <c r="A321" s="135"/>
      <c r="B321" s="23"/>
      <c r="C321" s="23"/>
      <c r="D321" s="160"/>
      <c r="F321" s="135"/>
      <c r="G321" s="23"/>
      <c r="H321" s="23"/>
      <c r="I321" s="160"/>
    </row>
    <row r="322" spans="1:9" x14ac:dyDescent="0.3">
      <c r="A322" s="135"/>
      <c r="B322" s="23"/>
      <c r="C322" s="23"/>
      <c r="D322" s="160"/>
      <c r="F322" s="135"/>
      <c r="G322" s="23"/>
      <c r="H322" s="23"/>
      <c r="I322" s="160"/>
    </row>
    <row r="323" spans="1:9" x14ac:dyDescent="0.3">
      <c r="A323" s="135"/>
      <c r="B323" s="23"/>
      <c r="C323" s="23"/>
      <c r="D323" s="160"/>
      <c r="F323" s="135"/>
      <c r="G323" s="23"/>
      <c r="H323" s="23"/>
      <c r="I323" s="160"/>
    </row>
    <row r="324" spans="1:9" x14ac:dyDescent="0.3">
      <c r="A324" s="135"/>
      <c r="B324" s="23"/>
      <c r="C324" s="23"/>
      <c r="D324" s="160"/>
      <c r="F324" s="135"/>
      <c r="G324" s="23"/>
      <c r="H324" s="23"/>
      <c r="I324" s="160"/>
    </row>
    <row r="325" spans="1:9" x14ac:dyDescent="0.3">
      <c r="A325" s="135"/>
      <c r="B325" s="23"/>
      <c r="C325" s="23"/>
      <c r="D325" s="160"/>
      <c r="F325" s="135"/>
      <c r="G325" s="23"/>
      <c r="H325" s="23"/>
      <c r="I325" s="160"/>
    </row>
    <row r="326" spans="1:9" x14ac:dyDescent="0.3">
      <c r="A326" s="135"/>
      <c r="B326" s="23"/>
      <c r="C326" s="23"/>
      <c r="D326" s="160"/>
      <c r="F326" s="135"/>
      <c r="G326" s="23"/>
      <c r="H326" s="23"/>
      <c r="I326" s="160"/>
    </row>
    <row r="327" spans="1:9" x14ac:dyDescent="0.3">
      <c r="A327" s="135"/>
      <c r="B327" s="23"/>
      <c r="C327" s="23"/>
      <c r="D327" s="160"/>
      <c r="F327" s="135"/>
      <c r="G327" s="23"/>
      <c r="H327" s="23"/>
      <c r="I327" s="160"/>
    </row>
    <row r="328" spans="1:9" x14ac:dyDescent="0.3">
      <c r="A328" s="135"/>
      <c r="B328" s="23"/>
      <c r="C328" s="23"/>
      <c r="D328" s="160"/>
      <c r="F328" s="135"/>
      <c r="G328" s="23"/>
      <c r="H328" s="23"/>
      <c r="I328" s="160"/>
    </row>
    <row r="329" spans="1:9" x14ac:dyDescent="0.3">
      <c r="A329" s="135"/>
      <c r="B329" s="23"/>
      <c r="C329" s="23"/>
      <c r="D329" s="160"/>
      <c r="F329" s="135"/>
      <c r="G329" s="23"/>
      <c r="H329" s="23"/>
      <c r="I329" s="160"/>
    </row>
    <row r="330" spans="1:9" x14ac:dyDescent="0.3">
      <c r="A330" s="135"/>
      <c r="B330" s="23"/>
      <c r="C330" s="23"/>
      <c r="D330" s="160"/>
      <c r="F330" s="135"/>
      <c r="G330" s="23"/>
      <c r="H330" s="23"/>
      <c r="I330" s="160"/>
    </row>
    <row r="331" spans="1:9" x14ac:dyDescent="0.3">
      <c r="A331" s="135"/>
      <c r="B331" s="23"/>
      <c r="C331" s="23"/>
      <c r="D331" s="160"/>
      <c r="F331" s="135"/>
      <c r="G331" s="23"/>
      <c r="H331" s="23"/>
      <c r="I331" s="160"/>
    </row>
    <row r="332" spans="1:9" x14ac:dyDescent="0.3">
      <c r="A332" s="135"/>
      <c r="B332" s="23"/>
      <c r="C332" s="23"/>
      <c r="D332" s="160"/>
      <c r="F332" s="135"/>
      <c r="G332" s="23"/>
      <c r="H332" s="23"/>
      <c r="I332" s="160"/>
    </row>
    <row r="333" spans="1:9" x14ac:dyDescent="0.3">
      <c r="A333" s="135"/>
      <c r="B333" s="23"/>
      <c r="C333" s="23"/>
      <c r="D333" s="160"/>
      <c r="F333" s="135"/>
      <c r="G333" s="23"/>
      <c r="H333" s="23"/>
      <c r="I333" s="160"/>
    </row>
    <row r="334" spans="1:9" x14ac:dyDescent="0.3">
      <c r="A334" s="135"/>
      <c r="B334" s="23"/>
      <c r="C334" s="23"/>
      <c r="D334" s="160"/>
      <c r="F334" s="135"/>
      <c r="G334" s="23"/>
      <c r="H334" s="23"/>
      <c r="I334" s="160"/>
    </row>
    <row r="335" spans="1:9" x14ac:dyDescent="0.3">
      <c r="A335" s="135"/>
      <c r="B335" s="23"/>
      <c r="C335" s="23"/>
      <c r="D335" s="160"/>
      <c r="F335" s="135"/>
      <c r="G335" s="23"/>
      <c r="H335" s="23"/>
      <c r="I335" s="160"/>
    </row>
    <row r="336" spans="1:9" x14ac:dyDescent="0.3">
      <c r="A336" s="135"/>
      <c r="B336" s="23"/>
      <c r="C336" s="23"/>
      <c r="D336" s="160"/>
      <c r="F336" s="135"/>
      <c r="G336" s="23"/>
      <c r="H336" s="23"/>
      <c r="I336" s="160"/>
    </row>
    <row r="337" spans="1:9" x14ac:dyDescent="0.3">
      <c r="A337" s="135"/>
      <c r="B337" s="23"/>
      <c r="C337" s="23"/>
      <c r="D337" s="160"/>
      <c r="F337" s="135"/>
      <c r="G337" s="23"/>
      <c r="H337" s="23"/>
      <c r="I337" s="160"/>
    </row>
    <row r="338" spans="1:9" x14ac:dyDescent="0.3">
      <c r="A338" s="135"/>
      <c r="B338" s="23"/>
      <c r="C338" s="23"/>
      <c r="D338" s="160"/>
      <c r="F338" s="135"/>
      <c r="G338" s="23"/>
      <c r="H338" s="23"/>
      <c r="I338" s="160"/>
    </row>
    <row r="339" spans="1:9" x14ac:dyDescent="0.3">
      <c r="A339" s="135"/>
      <c r="B339" s="23"/>
      <c r="C339" s="23"/>
      <c r="D339" s="160"/>
      <c r="F339" s="135"/>
      <c r="G339" s="23"/>
      <c r="H339" s="23"/>
      <c r="I339" s="160"/>
    </row>
    <row r="340" spans="1:9" x14ac:dyDescent="0.3">
      <c r="A340" s="135"/>
      <c r="B340" s="23"/>
      <c r="C340" s="23"/>
      <c r="D340" s="160"/>
      <c r="F340" s="135"/>
      <c r="G340" s="23"/>
      <c r="H340" s="23"/>
      <c r="I340" s="160"/>
    </row>
    <row r="341" spans="1:9" x14ac:dyDescent="0.3">
      <c r="A341" s="135"/>
      <c r="B341" s="23"/>
      <c r="C341" s="23"/>
      <c r="D341" s="160"/>
      <c r="F341" s="135"/>
      <c r="G341" s="23"/>
      <c r="H341" s="23"/>
      <c r="I341" s="160"/>
    </row>
    <row r="342" spans="1:9" x14ac:dyDescent="0.3">
      <c r="A342" s="135"/>
      <c r="B342" s="23"/>
      <c r="C342" s="23"/>
      <c r="D342" s="160"/>
      <c r="F342" s="135"/>
      <c r="G342" s="23"/>
      <c r="H342" s="23"/>
      <c r="I342" s="160"/>
    </row>
    <row r="343" spans="1:9" x14ac:dyDescent="0.3">
      <c r="A343" s="135"/>
      <c r="B343" s="23"/>
      <c r="C343" s="23"/>
      <c r="D343" s="160"/>
      <c r="F343" s="135"/>
      <c r="G343" s="23"/>
      <c r="H343" s="23"/>
      <c r="I343" s="160"/>
    </row>
    <row r="344" spans="1:9" x14ac:dyDescent="0.3">
      <c r="A344" s="135"/>
      <c r="B344" s="23"/>
      <c r="C344" s="23"/>
      <c r="D344" s="160"/>
      <c r="F344" s="135"/>
      <c r="G344" s="23"/>
      <c r="H344" s="23"/>
      <c r="I344" s="160"/>
    </row>
    <row r="345" spans="1:9" x14ac:dyDescent="0.3">
      <c r="A345" s="135"/>
      <c r="B345" s="23"/>
      <c r="C345" s="23"/>
      <c r="D345" s="160"/>
      <c r="F345" s="135"/>
      <c r="G345" s="23"/>
      <c r="H345" s="23"/>
      <c r="I345" s="160"/>
    </row>
    <row r="346" spans="1:9" x14ac:dyDescent="0.3">
      <c r="A346" s="135"/>
      <c r="B346" s="23"/>
      <c r="C346" s="23"/>
      <c r="D346" s="160"/>
      <c r="F346" s="135"/>
      <c r="G346" s="23"/>
      <c r="H346" s="23"/>
      <c r="I346" s="160"/>
    </row>
    <row r="347" spans="1:9" x14ac:dyDescent="0.3">
      <c r="A347" s="135"/>
      <c r="B347" s="23"/>
      <c r="C347" s="23"/>
      <c r="D347" s="160"/>
      <c r="F347" s="135"/>
      <c r="G347" s="23"/>
      <c r="H347" s="23"/>
      <c r="I347" s="160"/>
    </row>
    <row r="348" spans="1:9" x14ac:dyDescent="0.3">
      <c r="A348" s="135"/>
      <c r="B348" s="23"/>
      <c r="C348" s="23"/>
      <c r="D348" s="160"/>
      <c r="F348" s="135"/>
      <c r="G348" s="23"/>
      <c r="H348" s="23"/>
      <c r="I348" s="160"/>
    </row>
    <row r="349" spans="1:9" x14ac:dyDescent="0.3">
      <c r="A349" s="135"/>
      <c r="B349" s="23"/>
      <c r="C349" s="23"/>
      <c r="D349" s="160"/>
      <c r="F349" s="135"/>
      <c r="G349" s="23"/>
      <c r="H349" s="23"/>
      <c r="I349" s="160"/>
    </row>
    <row r="350" spans="1:9" x14ac:dyDescent="0.3">
      <c r="A350" s="135"/>
      <c r="B350" s="23"/>
      <c r="C350" s="23"/>
      <c r="D350" s="160"/>
      <c r="F350" s="135"/>
      <c r="G350" s="23"/>
      <c r="H350" s="23"/>
      <c r="I350" s="160"/>
    </row>
    <row r="351" spans="1:9" x14ac:dyDescent="0.3">
      <c r="A351" s="135"/>
      <c r="B351" s="23"/>
      <c r="C351" s="23"/>
      <c r="D351" s="160"/>
      <c r="F351" s="135"/>
      <c r="G351" s="23"/>
      <c r="H351" s="23"/>
      <c r="I351" s="160"/>
    </row>
    <row r="352" spans="1:9" x14ac:dyDescent="0.3">
      <c r="A352" s="135"/>
      <c r="B352" s="23"/>
      <c r="C352" s="23"/>
      <c r="D352" s="160"/>
      <c r="F352" s="135"/>
      <c r="G352" s="23"/>
      <c r="H352" s="23"/>
      <c r="I352" s="160"/>
    </row>
    <row r="353" spans="1:9" x14ac:dyDescent="0.3">
      <c r="A353" s="135"/>
      <c r="B353" s="23"/>
      <c r="C353" s="23"/>
      <c r="D353" s="160"/>
      <c r="F353" s="135"/>
      <c r="G353" s="23"/>
      <c r="H353" s="23"/>
      <c r="I353" s="160"/>
    </row>
    <row r="354" spans="1:9" x14ac:dyDescent="0.3">
      <c r="A354" s="135"/>
      <c r="B354" s="23"/>
      <c r="C354" s="23"/>
      <c r="D354" s="160"/>
      <c r="F354" s="135"/>
      <c r="G354" s="23"/>
      <c r="H354" s="23"/>
      <c r="I354" s="160"/>
    </row>
    <row r="355" spans="1:9" x14ac:dyDescent="0.3">
      <c r="A355" s="135"/>
      <c r="B355" s="23"/>
      <c r="C355" s="23"/>
      <c r="D355" s="160"/>
      <c r="F355" s="135"/>
      <c r="G355" s="23"/>
      <c r="H355" s="23"/>
      <c r="I355" s="160"/>
    </row>
    <row r="356" spans="1:9" x14ac:dyDescent="0.3">
      <c r="A356" s="135"/>
      <c r="B356" s="23"/>
      <c r="C356" s="23"/>
      <c r="D356" s="160"/>
      <c r="F356" s="135"/>
      <c r="G356" s="23"/>
      <c r="H356" s="23"/>
      <c r="I356" s="160"/>
    </row>
    <row r="357" spans="1:9" x14ac:dyDescent="0.3">
      <c r="A357" s="135"/>
      <c r="B357" s="23"/>
      <c r="C357" s="23"/>
      <c r="D357" s="160"/>
      <c r="F357" s="135"/>
      <c r="G357" s="23"/>
      <c r="H357" s="23"/>
      <c r="I357" s="160"/>
    </row>
    <row r="358" spans="1:9" x14ac:dyDescent="0.3">
      <c r="A358" s="135"/>
      <c r="B358" s="23"/>
      <c r="C358" s="23"/>
      <c r="D358" s="160"/>
      <c r="F358" s="135"/>
      <c r="G358" s="23"/>
      <c r="H358" s="23"/>
      <c r="I358" s="160"/>
    </row>
    <row r="359" spans="1:9" x14ac:dyDescent="0.3">
      <c r="A359" s="135"/>
      <c r="B359" s="23"/>
      <c r="C359" s="23"/>
      <c r="D359" s="160"/>
      <c r="F359" s="135"/>
      <c r="G359" s="23"/>
      <c r="H359" s="23"/>
      <c r="I359" s="160"/>
    </row>
    <row r="360" spans="1:9" x14ac:dyDescent="0.3">
      <c r="A360" s="135"/>
      <c r="B360" s="23"/>
      <c r="C360" s="23"/>
      <c r="D360" s="160"/>
      <c r="F360" s="135"/>
      <c r="G360" s="23"/>
      <c r="H360" s="23"/>
      <c r="I360" s="160"/>
    </row>
    <row r="361" spans="1:9" x14ac:dyDescent="0.3">
      <c r="A361" s="135"/>
      <c r="B361" s="23"/>
      <c r="C361" s="23"/>
      <c r="D361" s="160"/>
      <c r="F361" s="135"/>
      <c r="G361" s="23"/>
      <c r="H361" s="23"/>
      <c r="I361" s="160"/>
    </row>
    <row r="362" spans="1:9" x14ac:dyDescent="0.3">
      <c r="A362" s="135"/>
      <c r="B362" s="23"/>
      <c r="C362" s="23"/>
      <c r="D362" s="160"/>
      <c r="F362" s="135"/>
      <c r="G362" s="23"/>
      <c r="H362" s="23"/>
      <c r="I362" s="160"/>
    </row>
    <row r="363" spans="1:9" x14ac:dyDescent="0.3">
      <c r="A363" s="135"/>
      <c r="B363" s="23"/>
      <c r="C363" s="23"/>
      <c r="D363" s="160"/>
      <c r="F363" s="135"/>
      <c r="G363" s="23"/>
      <c r="H363" s="23"/>
      <c r="I363" s="160"/>
    </row>
    <row r="364" spans="1:9" x14ac:dyDescent="0.3">
      <c r="A364" s="135"/>
      <c r="B364" s="23"/>
      <c r="C364" s="23"/>
      <c r="D364" s="160"/>
      <c r="F364" s="135"/>
      <c r="G364" s="23"/>
      <c r="H364" s="23"/>
      <c r="I364" s="160"/>
    </row>
    <row r="365" spans="1:9" x14ac:dyDescent="0.3">
      <c r="A365" s="135"/>
      <c r="B365" s="23"/>
      <c r="C365" s="23"/>
      <c r="D365" s="160"/>
      <c r="F365" s="135"/>
      <c r="G365" s="23"/>
      <c r="H365" s="23"/>
      <c r="I365" s="160"/>
    </row>
    <row r="366" spans="1:9" x14ac:dyDescent="0.3">
      <c r="A366" s="135"/>
      <c r="B366" s="23"/>
      <c r="C366" s="23"/>
      <c r="D366" s="160"/>
      <c r="F366" s="135"/>
      <c r="G366" s="23"/>
      <c r="H366" s="23"/>
      <c r="I366" s="160"/>
    </row>
    <row r="367" spans="1:9" x14ac:dyDescent="0.3">
      <c r="A367" s="135"/>
      <c r="B367" s="23"/>
      <c r="C367" s="23"/>
      <c r="D367" s="160"/>
      <c r="F367" s="135"/>
      <c r="G367" s="23"/>
      <c r="H367" s="23"/>
      <c r="I367" s="160"/>
    </row>
    <row r="368" spans="1:9" x14ac:dyDescent="0.3">
      <c r="A368" s="135"/>
      <c r="B368" s="23"/>
      <c r="C368" s="23"/>
      <c r="D368" s="160"/>
      <c r="F368" s="135"/>
      <c r="G368" s="23"/>
      <c r="H368" s="23"/>
      <c r="I368" s="160"/>
    </row>
    <row r="369" spans="1:9" x14ac:dyDescent="0.3">
      <c r="A369" s="135"/>
      <c r="B369" s="23"/>
      <c r="C369" s="23"/>
      <c r="D369" s="160"/>
      <c r="F369" s="135"/>
      <c r="G369" s="23"/>
      <c r="H369" s="23"/>
      <c r="I369" s="160"/>
    </row>
    <row r="370" spans="1:9" x14ac:dyDescent="0.3">
      <c r="A370" s="135"/>
      <c r="B370" s="23"/>
      <c r="C370" s="23"/>
      <c r="D370" s="160"/>
      <c r="F370" s="135"/>
      <c r="G370" s="23"/>
      <c r="H370" s="23"/>
      <c r="I370" s="160"/>
    </row>
    <row r="371" spans="1:9" x14ac:dyDescent="0.3">
      <c r="A371" s="135"/>
      <c r="B371" s="23"/>
      <c r="C371" s="23"/>
      <c r="D371" s="160"/>
      <c r="F371" s="135"/>
      <c r="G371" s="23"/>
      <c r="H371" s="23"/>
      <c r="I371" s="160"/>
    </row>
    <row r="372" spans="1:9" x14ac:dyDescent="0.3">
      <c r="A372" s="135"/>
      <c r="B372" s="23"/>
      <c r="C372" s="23"/>
      <c r="D372" s="160"/>
      <c r="F372" s="135"/>
      <c r="G372" s="23"/>
      <c r="H372" s="23"/>
      <c r="I372" s="160"/>
    </row>
    <row r="373" spans="1:9" x14ac:dyDescent="0.3">
      <c r="A373" s="135"/>
      <c r="B373" s="23"/>
      <c r="C373" s="23"/>
      <c r="D373" s="160"/>
      <c r="F373" s="135"/>
      <c r="G373" s="23"/>
      <c r="H373" s="23"/>
      <c r="I373" s="160"/>
    </row>
    <row r="374" spans="1:9" x14ac:dyDescent="0.3">
      <c r="A374" s="135"/>
      <c r="B374" s="23"/>
      <c r="C374" s="23"/>
      <c r="D374" s="160"/>
      <c r="F374" s="135"/>
      <c r="G374" s="23"/>
      <c r="H374" s="23"/>
      <c r="I374" s="160"/>
    </row>
    <row r="375" spans="1:9" x14ac:dyDescent="0.3">
      <c r="A375" s="135"/>
      <c r="B375" s="23"/>
      <c r="C375" s="23"/>
      <c r="D375" s="160"/>
      <c r="F375" s="135"/>
      <c r="G375" s="23"/>
      <c r="H375" s="23"/>
      <c r="I375" s="160"/>
    </row>
    <row r="376" spans="1:9" x14ac:dyDescent="0.3">
      <c r="A376" s="135"/>
      <c r="B376" s="23"/>
      <c r="C376" s="23"/>
      <c r="D376" s="160"/>
      <c r="F376" s="135"/>
      <c r="G376" s="23"/>
      <c r="H376" s="23"/>
      <c r="I376" s="160"/>
    </row>
    <row r="377" spans="1:9" x14ac:dyDescent="0.3">
      <c r="A377" s="135"/>
      <c r="B377" s="23"/>
      <c r="C377" s="23"/>
      <c r="D377" s="160"/>
      <c r="F377" s="135"/>
      <c r="G377" s="23"/>
      <c r="H377" s="23"/>
      <c r="I377" s="160"/>
    </row>
    <row r="378" spans="1:9" x14ac:dyDescent="0.3">
      <c r="A378" s="135"/>
      <c r="B378" s="23"/>
      <c r="C378" s="23"/>
      <c r="D378" s="160"/>
      <c r="F378" s="135"/>
      <c r="G378" s="23"/>
      <c r="H378" s="23"/>
      <c r="I378" s="160"/>
    </row>
    <row r="379" spans="1:9" x14ac:dyDescent="0.3">
      <c r="A379" s="135"/>
      <c r="B379" s="23"/>
      <c r="C379" s="23"/>
      <c r="D379" s="160"/>
      <c r="F379" s="135"/>
      <c r="G379" s="23"/>
      <c r="H379" s="23"/>
      <c r="I379" s="160"/>
    </row>
    <row r="380" spans="1:9" x14ac:dyDescent="0.3">
      <c r="A380" s="135"/>
      <c r="B380" s="23"/>
      <c r="C380" s="23"/>
      <c r="D380" s="160"/>
      <c r="F380" s="135"/>
      <c r="G380" s="23"/>
      <c r="H380" s="23"/>
      <c r="I380" s="160"/>
    </row>
    <row r="381" spans="1:9" x14ac:dyDescent="0.3">
      <c r="A381" s="135"/>
      <c r="B381" s="23"/>
      <c r="C381" s="23"/>
      <c r="D381" s="160"/>
      <c r="F381" s="135"/>
      <c r="G381" s="23"/>
      <c r="H381" s="23"/>
      <c r="I381" s="160"/>
    </row>
    <row r="382" spans="1:9" x14ac:dyDescent="0.3">
      <c r="A382" s="135"/>
      <c r="B382" s="23"/>
      <c r="C382" s="23"/>
      <c r="D382" s="160"/>
      <c r="F382" s="135"/>
      <c r="G382" s="23"/>
      <c r="H382" s="23"/>
      <c r="I382" s="160"/>
    </row>
    <row r="383" spans="1:9" x14ac:dyDescent="0.3">
      <c r="A383" s="135"/>
      <c r="B383" s="23"/>
      <c r="C383" s="23"/>
      <c r="D383" s="160"/>
      <c r="F383" s="135"/>
      <c r="G383" s="23"/>
      <c r="H383" s="23"/>
      <c r="I383" s="160"/>
    </row>
    <row r="384" spans="1:9" x14ac:dyDescent="0.3">
      <c r="A384" s="135"/>
      <c r="B384" s="23"/>
      <c r="C384" s="23"/>
      <c r="D384" s="160"/>
      <c r="F384" s="135"/>
      <c r="G384" s="23"/>
      <c r="H384" s="23"/>
      <c r="I384" s="160"/>
    </row>
    <row r="385" spans="1:9" x14ac:dyDescent="0.3">
      <c r="A385" s="135"/>
      <c r="B385" s="23"/>
      <c r="C385" s="23"/>
      <c r="D385" s="160"/>
      <c r="F385" s="135"/>
      <c r="G385" s="23"/>
      <c r="H385" s="23"/>
      <c r="I385" s="160"/>
    </row>
    <row r="386" spans="1:9" x14ac:dyDescent="0.3">
      <c r="A386" s="135"/>
      <c r="B386" s="23"/>
      <c r="C386" s="23"/>
      <c r="D386" s="160"/>
      <c r="F386" s="135"/>
      <c r="G386" s="23"/>
      <c r="H386" s="23"/>
      <c r="I386" s="160"/>
    </row>
    <row r="387" spans="1:9" x14ac:dyDescent="0.3">
      <c r="A387" s="135"/>
      <c r="B387" s="23"/>
      <c r="C387" s="23"/>
      <c r="D387" s="160"/>
      <c r="F387" s="135"/>
      <c r="G387" s="23"/>
      <c r="H387" s="23"/>
      <c r="I387" s="160"/>
    </row>
    <row r="388" spans="1:9" x14ac:dyDescent="0.3">
      <c r="A388" s="135"/>
      <c r="B388" s="23"/>
      <c r="C388" s="23"/>
      <c r="D388" s="160"/>
      <c r="F388" s="135"/>
      <c r="G388" s="23"/>
      <c r="H388" s="23"/>
      <c r="I388" s="160"/>
    </row>
    <row r="389" spans="1:9" x14ac:dyDescent="0.3">
      <c r="A389" s="135"/>
      <c r="B389" s="23"/>
      <c r="C389" s="23"/>
      <c r="D389" s="160"/>
      <c r="F389" s="135"/>
      <c r="G389" s="23"/>
      <c r="H389" s="23"/>
      <c r="I389" s="160"/>
    </row>
    <row r="390" spans="1:9" x14ac:dyDescent="0.3">
      <c r="A390" s="135"/>
      <c r="B390" s="23"/>
      <c r="C390" s="23"/>
      <c r="D390" s="160"/>
      <c r="F390" s="135"/>
      <c r="G390" s="23"/>
      <c r="H390" s="23"/>
      <c r="I390" s="160"/>
    </row>
    <row r="391" spans="1:9" x14ac:dyDescent="0.3">
      <c r="A391" s="135"/>
      <c r="B391" s="23"/>
      <c r="C391" s="23"/>
      <c r="D391" s="160"/>
      <c r="F391" s="135"/>
      <c r="G391" s="23"/>
      <c r="H391" s="23"/>
      <c r="I391" s="160"/>
    </row>
    <row r="392" spans="1:9" x14ac:dyDescent="0.3">
      <c r="A392" s="135"/>
      <c r="B392" s="23"/>
      <c r="C392" s="23"/>
      <c r="D392" s="160"/>
      <c r="F392" s="135"/>
      <c r="G392" s="23"/>
      <c r="H392" s="23"/>
      <c r="I392" s="160"/>
    </row>
    <row r="393" spans="1:9" x14ac:dyDescent="0.3">
      <c r="A393" s="135"/>
      <c r="B393" s="23"/>
      <c r="C393" s="23"/>
      <c r="D393" s="160"/>
      <c r="F393" s="135"/>
      <c r="G393" s="23"/>
      <c r="H393" s="23"/>
      <c r="I393" s="160"/>
    </row>
    <row r="394" spans="1:9" x14ac:dyDescent="0.3">
      <c r="A394" s="135"/>
      <c r="B394" s="23"/>
      <c r="C394" s="23"/>
      <c r="D394" s="160"/>
      <c r="F394" s="135"/>
      <c r="G394" s="23"/>
      <c r="H394" s="23"/>
      <c r="I394" s="160"/>
    </row>
    <row r="395" spans="1:9" x14ac:dyDescent="0.3">
      <c r="A395" s="135"/>
      <c r="B395" s="23"/>
      <c r="C395" s="23"/>
      <c r="D395" s="160"/>
      <c r="F395" s="135"/>
      <c r="G395" s="23"/>
      <c r="H395" s="23"/>
      <c r="I395" s="160"/>
    </row>
    <row r="396" spans="1:9" x14ac:dyDescent="0.3">
      <c r="A396" s="135"/>
      <c r="B396" s="23"/>
      <c r="C396" s="23"/>
      <c r="D396" s="160"/>
      <c r="F396" s="135"/>
      <c r="G396" s="23"/>
      <c r="H396" s="23"/>
      <c r="I396" s="160"/>
    </row>
    <row r="397" spans="1:9" x14ac:dyDescent="0.3">
      <c r="A397" s="135"/>
      <c r="B397" s="23"/>
      <c r="C397" s="23"/>
      <c r="D397" s="160"/>
      <c r="F397" s="135"/>
      <c r="G397" s="23"/>
      <c r="H397" s="23"/>
      <c r="I397" s="160"/>
    </row>
    <row r="398" spans="1:9" x14ac:dyDescent="0.3">
      <c r="A398" s="135"/>
      <c r="B398" s="23"/>
      <c r="C398" s="23"/>
      <c r="D398" s="160"/>
      <c r="F398" s="135"/>
      <c r="G398" s="23"/>
      <c r="H398" s="23"/>
      <c r="I398" s="160"/>
    </row>
    <row r="399" spans="1:9" x14ac:dyDescent="0.3">
      <c r="A399" s="135"/>
      <c r="B399" s="23"/>
      <c r="C399" s="23"/>
      <c r="D399" s="160"/>
      <c r="F399" s="135"/>
      <c r="G399" s="23"/>
      <c r="H399" s="23"/>
      <c r="I399" s="160"/>
    </row>
    <row r="400" spans="1:9" x14ac:dyDescent="0.3">
      <c r="A400" s="135"/>
      <c r="B400" s="23"/>
      <c r="C400" s="23"/>
      <c r="D400" s="160"/>
      <c r="F400" s="135"/>
      <c r="G400" s="23"/>
      <c r="H400" s="23"/>
      <c r="I400" s="160"/>
    </row>
    <row r="401" spans="1:9" x14ac:dyDescent="0.3">
      <c r="A401" s="135"/>
      <c r="B401" s="23"/>
      <c r="C401" s="23"/>
      <c r="D401" s="160"/>
      <c r="F401" s="135"/>
      <c r="G401" s="23"/>
      <c r="H401" s="23"/>
      <c r="I401" s="160"/>
    </row>
    <row r="402" spans="1:9" x14ac:dyDescent="0.3">
      <c r="A402" s="135"/>
      <c r="B402" s="23"/>
      <c r="C402" s="23"/>
      <c r="D402" s="160"/>
      <c r="F402" s="135"/>
      <c r="G402" s="23"/>
      <c r="H402" s="23"/>
      <c r="I402" s="160"/>
    </row>
    <row r="403" spans="1:9" x14ac:dyDescent="0.3">
      <c r="A403" s="135"/>
      <c r="B403" s="23"/>
      <c r="C403" s="23"/>
      <c r="D403" s="160"/>
      <c r="F403" s="135"/>
      <c r="G403" s="23"/>
      <c r="H403" s="23"/>
      <c r="I403" s="160"/>
    </row>
    <row r="404" spans="1:9" x14ac:dyDescent="0.3">
      <c r="A404" s="135"/>
      <c r="B404" s="23"/>
      <c r="C404" s="23"/>
      <c r="D404" s="160"/>
      <c r="F404" s="135"/>
      <c r="G404" s="23"/>
      <c r="H404" s="23"/>
      <c r="I404" s="160"/>
    </row>
    <row r="405" spans="1:9" x14ac:dyDescent="0.3">
      <c r="A405" s="135"/>
      <c r="B405" s="23"/>
      <c r="C405" s="23"/>
      <c r="D405" s="160"/>
      <c r="F405" s="135"/>
      <c r="G405" s="23"/>
      <c r="H405" s="23"/>
      <c r="I405" s="160"/>
    </row>
    <row r="406" spans="1:9" x14ac:dyDescent="0.3">
      <c r="A406" s="135"/>
      <c r="B406" s="23"/>
      <c r="C406" s="23"/>
      <c r="D406" s="160"/>
      <c r="F406" s="135"/>
      <c r="G406" s="23"/>
      <c r="H406" s="23"/>
      <c r="I406" s="160"/>
    </row>
    <row r="407" spans="1:9" x14ac:dyDescent="0.3">
      <c r="A407" s="135"/>
      <c r="B407" s="23"/>
      <c r="C407" s="23"/>
      <c r="D407" s="160"/>
      <c r="F407" s="135"/>
      <c r="G407" s="23"/>
      <c r="H407" s="23"/>
      <c r="I407" s="160"/>
    </row>
    <row r="408" spans="1:9" x14ac:dyDescent="0.3">
      <c r="A408" s="135"/>
      <c r="B408" s="23"/>
      <c r="C408" s="23"/>
      <c r="D408" s="160"/>
      <c r="F408" s="135"/>
      <c r="G408" s="23"/>
      <c r="H408" s="23"/>
      <c r="I408" s="160"/>
    </row>
    <row r="409" spans="1:9" x14ac:dyDescent="0.3">
      <c r="A409" s="135"/>
      <c r="B409" s="23"/>
      <c r="C409" s="23"/>
      <c r="D409" s="160"/>
      <c r="F409" s="135"/>
      <c r="G409" s="23"/>
      <c r="H409" s="23"/>
      <c r="I409" s="160"/>
    </row>
    <row r="410" spans="1:9" x14ac:dyDescent="0.3">
      <c r="A410" s="135"/>
      <c r="B410" s="23"/>
      <c r="C410" s="23"/>
      <c r="D410" s="160"/>
      <c r="F410" s="135"/>
      <c r="G410" s="23"/>
      <c r="H410" s="23"/>
      <c r="I410" s="160"/>
    </row>
    <row r="411" spans="1:9" x14ac:dyDescent="0.3">
      <c r="A411" s="135"/>
      <c r="B411" s="23"/>
      <c r="C411" s="23"/>
      <c r="D411" s="160"/>
      <c r="F411" s="135"/>
      <c r="G411" s="23"/>
      <c r="H411" s="23"/>
      <c r="I411" s="160"/>
    </row>
    <row r="412" spans="1:9" x14ac:dyDescent="0.3">
      <c r="A412" s="135"/>
      <c r="B412" s="23"/>
      <c r="C412" s="23"/>
      <c r="D412" s="160"/>
      <c r="F412" s="135"/>
      <c r="G412" s="23"/>
      <c r="H412" s="23"/>
      <c r="I412" s="160"/>
    </row>
    <row r="413" spans="1:9" x14ac:dyDescent="0.3">
      <c r="A413" s="135"/>
      <c r="B413" s="23"/>
      <c r="C413" s="23"/>
      <c r="D413" s="160"/>
      <c r="F413" s="135"/>
      <c r="G413" s="23"/>
      <c r="H413" s="23"/>
      <c r="I413" s="160"/>
    </row>
    <row r="414" spans="1:9" x14ac:dyDescent="0.3">
      <c r="A414" s="135"/>
      <c r="B414" s="23"/>
      <c r="C414" s="23"/>
      <c r="D414" s="160"/>
      <c r="F414" s="135"/>
      <c r="G414" s="23"/>
      <c r="H414" s="23"/>
      <c r="I414" s="160"/>
    </row>
    <row r="415" spans="1:9" x14ac:dyDescent="0.3">
      <c r="A415" s="135"/>
      <c r="B415" s="23"/>
      <c r="C415" s="23"/>
      <c r="D415" s="160"/>
      <c r="F415" s="135"/>
      <c r="G415" s="23"/>
      <c r="H415" s="23"/>
      <c r="I415" s="160"/>
    </row>
    <row r="416" spans="1:9" x14ac:dyDescent="0.3">
      <c r="A416" s="135"/>
      <c r="B416" s="23"/>
      <c r="C416" s="23"/>
      <c r="D416" s="160"/>
      <c r="F416" s="135"/>
      <c r="G416" s="23"/>
      <c r="H416" s="23"/>
      <c r="I416" s="160"/>
    </row>
    <row r="417" spans="1:9" x14ac:dyDescent="0.3">
      <c r="A417" s="135"/>
      <c r="B417" s="23"/>
      <c r="C417" s="23"/>
      <c r="D417" s="160"/>
      <c r="F417" s="135"/>
      <c r="G417" s="23"/>
      <c r="H417" s="23"/>
      <c r="I417" s="160"/>
    </row>
    <row r="418" spans="1:9" x14ac:dyDescent="0.3">
      <c r="A418" s="135"/>
      <c r="B418" s="23"/>
      <c r="C418" s="23"/>
      <c r="D418" s="160"/>
      <c r="F418" s="135"/>
      <c r="G418" s="23"/>
      <c r="H418" s="23"/>
      <c r="I418" s="160"/>
    </row>
    <row r="419" spans="1:9" x14ac:dyDescent="0.3">
      <c r="A419" s="135"/>
      <c r="B419" s="23"/>
      <c r="C419" s="23"/>
      <c r="D419" s="160"/>
      <c r="F419" s="135"/>
      <c r="G419" s="23"/>
      <c r="H419" s="23"/>
      <c r="I419" s="160"/>
    </row>
    <row r="420" spans="1:9" x14ac:dyDescent="0.3">
      <c r="A420" s="135"/>
      <c r="B420" s="23"/>
      <c r="C420" s="23"/>
      <c r="D420" s="160"/>
      <c r="F420" s="135"/>
      <c r="G420" s="23"/>
      <c r="H420" s="23"/>
      <c r="I420" s="160"/>
    </row>
    <row r="421" spans="1:9" x14ac:dyDescent="0.3">
      <c r="A421" s="135"/>
      <c r="B421" s="23"/>
      <c r="C421" s="23"/>
      <c r="D421" s="160"/>
      <c r="F421" s="135"/>
      <c r="G421" s="23"/>
      <c r="H421" s="23"/>
      <c r="I421" s="160"/>
    </row>
    <row r="422" spans="1:9" x14ac:dyDescent="0.3">
      <c r="A422" s="135"/>
      <c r="B422" s="23"/>
      <c r="C422" s="23"/>
      <c r="D422" s="160"/>
      <c r="F422" s="135"/>
      <c r="G422" s="23"/>
      <c r="H422" s="23"/>
      <c r="I422" s="160"/>
    </row>
    <row r="423" spans="1:9" x14ac:dyDescent="0.3">
      <c r="A423" s="135"/>
      <c r="B423" s="23"/>
      <c r="C423" s="23"/>
      <c r="D423" s="160"/>
      <c r="F423" s="135"/>
      <c r="G423" s="23"/>
      <c r="H423" s="23"/>
      <c r="I423" s="160"/>
    </row>
    <row r="424" spans="1:9" x14ac:dyDescent="0.3">
      <c r="A424" s="135"/>
      <c r="B424" s="23"/>
      <c r="C424" s="23"/>
      <c r="D424" s="160"/>
      <c r="F424" s="135"/>
      <c r="G424" s="23"/>
      <c r="H424" s="23"/>
      <c r="I424" s="160"/>
    </row>
    <row r="425" spans="1:9" x14ac:dyDescent="0.3">
      <c r="A425" s="135"/>
      <c r="B425" s="23"/>
      <c r="C425" s="23"/>
      <c r="D425" s="160"/>
      <c r="F425" s="135"/>
      <c r="G425" s="23"/>
      <c r="H425" s="23"/>
      <c r="I425" s="160"/>
    </row>
    <row r="426" spans="1:9" x14ac:dyDescent="0.3">
      <c r="A426" s="135"/>
      <c r="B426" s="23"/>
      <c r="C426" s="23"/>
      <c r="D426" s="160"/>
      <c r="F426" s="135"/>
      <c r="G426" s="23"/>
      <c r="H426" s="23"/>
      <c r="I426" s="160"/>
    </row>
    <row r="427" spans="1:9" x14ac:dyDescent="0.3">
      <c r="A427" s="135"/>
      <c r="B427" s="23"/>
      <c r="C427" s="23"/>
      <c r="D427" s="160"/>
      <c r="F427" s="135"/>
      <c r="G427" s="23"/>
      <c r="H427" s="23"/>
      <c r="I427" s="160"/>
    </row>
    <row r="428" spans="1:9" x14ac:dyDescent="0.3">
      <c r="A428" s="135"/>
      <c r="B428" s="23"/>
      <c r="C428" s="23"/>
      <c r="D428" s="160"/>
      <c r="F428" s="135"/>
      <c r="G428" s="23"/>
      <c r="H428" s="23"/>
      <c r="I428" s="160"/>
    </row>
    <row r="429" spans="1:9" x14ac:dyDescent="0.3">
      <c r="A429" s="135"/>
      <c r="B429" s="23"/>
      <c r="C429" s="23"/>
      <c r="D429" s="160"/>
      <c r="F429" s="135"/>
      <c r="G429" s="23"/>
      <c r="H429" s="23"/>
      <c r="I429" s="160"/>
    </row>
    <row r="430" spans="1:9" x14ac:dyDescent="0.3">
      <c r="A430" s="135"/>
      <c r="B430" s="23"/>
      <c r="C430" s="23"/>
      <c r="D430" s="160"/>
      <c r="F430" s="135"/>
      <c r="G430" s="23"/>
      <c r="H430" s="23"/>
      <c r="I430" s="160"/>
    </row>
    <row r="431" spans="1:9" x14ac:dyDescent="0.3">
      <c r="A431" s="135"/>
      <c r="B431" s="23"/>
      <c r="C431" s="23"/>
      <c r="D431" s="160"/>
      <c r="F431" s="135"/>
      <c r="G431" s="23"/>
      <c r="H431" s="23"/>
      <c r="I431" s="160"/>
    </row>
    <row r="432" spans="1:9" x14ac:dyDescent="0.3">
      <c r="A432" s="135"/>
      <c r="B432" s="23"/>
      <c r="C432" s="23"/>
      <c r="D432" s="160"/>
      <c r="F432" s="135"/>
      <c r="G432" s="23"/>
      <c r="H432" s="23"/>
      <c r="I432" s="160"/>
    </row>
    <row r="433" spans="1:9" x14ac:dyDescent="0.3">
      <c r="A433" s="135"/>
      <c r="B433" s="23"/>
      <c r="C433" s="23"/>
      <c r="D433" s="160"/>
      <c r="F433" s="135"/>
      <c r="G433" s="23"/>
      <c r="H433" s="23"/>
      <c r="I433" s="160"/>
    </row>
    <row r="434" spans="1:9" x14ac:dyDescent="0.3">
      <c r="A434" s="135"/>
      <c r="B434" s="23"/>
      <c r="C434" s="23"/>
      <c r="D434" s="160"/>
      <c r="F434" s="135"/>
      <c r="G434" s="23"/>
      <c r="H434" s="23"/>
      <c r="I434" s="160"/>
    </row>
    <row r="435" spans="1:9" x14ac:dyDescent="0.3">
      <c r="A435" s="135"/>
      <c r="B435" s="23"/>
      <c r="C435" s="23"/>
      <c r="D435" s="160"/>
      <c r="F435" s="135"/>
      <c r="G435" s="23"/>
      <c r="H435" s="23"/>
      <c r="I435" s="160"/>
    </row>
    <row r="436" spans="1:9" x14ac:dyDescent="0.3">
      <c r="A436" s="135"/>
      <c r="B436" s="23"/>
      <c r="C436" s="23"/>
      <c r="D436" s="160"/>
      <c r="F436" s="135"/>
      <c r="G436" s="23"/>
      <c r="H436" s="23"/>
      <c r="I436" s="160"/>
    </row>
    <row r="437" spans="1:9" x14ac:dyDescent="0.3">
      <c r="A437" s="135"/>
      <c r="B437" s="23"/>
      <c r="C437" s="23"/>
      <c r="D437" s="160"/>
      <c r="F437" s="135"/>
      <c r="G437" s="23"/>
      <c r="H437" s="23"/>
      <c r="I437" s="160"/>
    </row>
    <row r="438" spans="1:9" x14ac:dyDescent="0.3">
      <c r="A438" s="135"/>
      <c r="B438" s="23"/>
      <c r="C438" s="23"/>
      <c r="D438" s="160"/>
      <c r="F438" s="135"/>
      <c r="G438" s="23"/>
      <c r="H438" s="23"/>
      <c r="I438" s="160"/>
    </row>
    <row r="439" spans="1:9" x14ac:dyDescent="0.3">
      <c r="A439" s="135"/>
      <c r="B439" s="23"/>
      <c r="C439" s="23"/>
      <c r="D439" s="160"/>
      <c r="F439" s="135"/>
      <c r="G439" s="23"/>
      <c r="H439" s="23"/>
      <c r="I439" s="160"/>
    </row>
    <row r="440" spans="1:9" x14ac:dyDescent="0.3">
      <c r="A440" s="135"/>
      <c r="B440" s="23"/>
      <c r="C440" s="23"/>
      <c r="D440" s="160"/>
      <c r="F440" s="135"/>
      <c r="G440" s="23"/>
      <c r="H440" s="23"/>
      <c r="I440" s="160"/>
    </row>
    <row r="441" spans="1:9" x14ac:dyDescent="0.3">
      <c r="A441" s="135"/>
      <c r="B441" s="23"/>
      <c r="C441" s="23"/>
      <c r="D441" s="160"/>
      <c r="F441" s="135"/>
      <c r="G441" s="23"/>
      <c r="H441" s="23"/>
      <c r="I441" s="160"/>
    </row>
    <row r="442" spans="1:9" x14ac:dyDescent="0.3">
      <c r="A442" s="135"/>
      <c r="B442" s="23"/>
      <c r="C442" s="23"/>
      <c r="D442" s="160"/>
      <c r="F442" s="135"/>
      <c r="G442" s="23"/>
      <c r="H442" s="23"/>
      <c r="I442" s="160"/>
    </row>
    <row r="443" spans="1:9" x14ac:dyDescent="0.3">
      <c r="A443" s="135"/>
      <c r="B443" s="23"/>
      <c r="C443" s="23"/>
      <c r="D443" s="160"/>
      <c r="F443" s="135"/>
      <c r="G443" s="23"/>
      <c r="H443" s="23"/>
      <c r="I443" s="160"/>
    </row>
    <row r="444" spans="1:9" x14ac:dyDescent="0.3">
      <c r="A444" s="135"/>
      <c r="B444" s="23"/>
      <c r="C444" s="23"/>
      <c r="D444" s="160"/>
      <c r="F444" s="135"/>
      <c r="G444" s="23"/>
      <c r="H444" s="23"/>
      <c r="I444" s="160"/>
    </row>
    <row r="445" spans="1:9" x14ac:dyDescent="0.3">
      <c r="A445" s="135"/>
      <c r="B445" s="23"/>
      <c r="C445" s="23"/>
      <c r="D445" s="160"/>
      <c r="F445" s="135"/>
      <c r="G445" s="23"/>
      <c r="H445" s="23"/>
      <c r="I445" s="160"/>
    </row>
    <row r="446" spans="1:9" x14ac:dyDescent="0.3">
      <c r="A446" s="135"/>
      <c r="B446" s="23"/>
      <c r="C446" s="23"/>
      <c r="D446" s="160"/>
      <c r="F446" s="135"/>
      <c r="G446" s="23"/>
      <c r="H446" s="23"/>
      <c r="I446" s="160"/>
    </row>
    <row r="447" spans="1:9" x14ac:dyDescent="0.3">
      <c r="A447" s="135"/>
      <c r="B447" s="23"/>
      <c r="C447" s="23"/>
      <c r="D447" s="160"/>
      <c r="F447" s="135"/>
      <c r="G447" s="23"/>
      <c r="H447" s="23"/>
      <c r="I447" s="160"/>
    </row>
    <row r="448" spans="1:9" x14ac:dyDescent="0.3">
      <c r="A448" s="135"/>
      <c r="B448" s="23"/>
      <c r="C448" s="23"/>
      <c r="D448" s="160"/>
      <c r="F448" s="135"/>
      <c r="G448" s="23"/>
      <c r="H448" s="23"/>
      <c r="I448" s="160"/>
    </row>
    <row r="449" spans="1:9" x14ac:dyDescent="0.3">
      <c r="A449" s="135"/>
      <c r="B449" s="23"/>
      <c r="C449" s="23"/>
      <c r="D449" s="160"/>
      <c r="F449" s="135"/>
      <c r="G449" s="23"/>
      <c r="H449" s="23"/>
      <c r="I449" s="160"/>
    </row>
    <row r="450" spans="1:9" x14ac:dyDescent="0.3">
      <c r="A450" s="135"/>
      <c r="B450" s="23"/>
      <c r="C450" s="23"/>
      <c r="D450" s="160"/>
      <c r="F450" s="135"/>
      <c r="G450" s="23"/>
      <c r="H450" s="23"/>
      <c r="I450" s="160"/>
    </row>
    <row r="451" spans="1:9" x14ac:dyDescent="0.3">
      <c r="A451" s="135"/>
      <c r="B451" s="23"/>
      <c r="C451" s="23"/>
      <c r="D451" s="160"/>
      <c r="F451" s="135"/>
      <c r="G451" s="23"/>
      <c r="H451" s="23"/>
      <c r="I451" s="160"/>
    </row>
    <row r="452" spans="1:9" x14ac:dyDescent="0.3">
      <c r="A452" s="135"/>
      <c r="B452" s="23"/>
      <c r="C452" s="23"/>
      <c r="D452" s="160"/>
      <c r="F452" s="135"/>
      <c r="G452" s="23"/>
      <c r="H452" s="23"/>
      <c r="I452" s="160"/>
    </row>
    <row r="453" spans="1:9" x14ac:dyDescent="0.3">
      <c r="A453" s="135"/>
      <c r="B453" s="23"/>
      <c r="C453" s="23"/>
      <c r="D453" s="160"/>
      <c r="F453" s="135"/>
      <c r="G453" s="23"/>
      <c r="H453" s="23"/>
      <c r="I453" s="160"/>
    </row>
    <row r="454" spans="1:9" x14ac:dyDescent="0.3">
      <c r="A454" s="135"/>
      <c r="B454" s="23"/>
      <c r="C454" s="23"/>
      <c r="D454" s="160"/>
      <c r="F454" s="135"/>
      <c r="G454" s="23"/>
      <c r="H454" s="23"/>
      <c r="I454" s="160"/>
    </row>
    <row r="455" spans="1:9" x14ac:dyDescent="0.3">
      <c r="A455" s="135"/>
      <c r="B455" s="23"/>
      <c r="C455" s="23"/>
      <c r="D455" s="160"/>
      <c r="F455" s="135"/>
      <c r="G455" s="23"/>
      <c r="H455" s="23"/>
      <c r="I455" s="160"/>
    </row>
    <row r="456" spans="1:9" x14ac:dyDescent="0.3">
      <c r="A456" s="135"/>
      <c r="B456" s="23"/>
      <c r="C456" s="23"/>
      <c r="D456" s="160"/>
      <c r="F456" s="135"/>
      <c r="G456" s="23"/>
      <c r="H456" s="23"/>
      <c r="I456" s="160"/>
    </row>
    <row r="457" spans="1:9" x14ac:dyDescent="0.3">
      <c r="A457" s="135"/>
      <c r="B457" s="23"/>
      <c r="C457" s="23"/>
      <c r="D457" s="160"/>
      <c r="F457" s="135"/>
      <c r="G457" s="23"/>
      <c r="H457" s="23"/>
      <c r="I457" s="160"/>
    </row>
    <row r="458" spans="1:9" x14ac:dyDescent="0.3">
      <c r="A458" s="135"/>
      <c r="B458" s="23"/>
      <c r="C458" s="23"/>
      <c r="D458" s="160"/>
      <c r="F458" s="135"/>
      <c r="G458" s="23"/>
      <c r="H458" s="23"/>
      <c r="I458" s="160"/>
    </row>
    <row r="459" spans="1:9" x14ac:dyDescent="0.3">
      <c r="A459" s="135"/>
      <c r="B459" s="23"/>
      <c r="C459" s="23"/>
      <c r="D459" s="160"/>
      <c r="F459" s="135"/>
      <c r="G459" s="23"/>
      <c r="H459" s="23"/>
      <c r="I459" s="160"/>
    </row>
    <row r="460" spans="1:9" x14ac:dyDescent="0.3">
      <c r="A460" s="135"/>
      <c r="B460" s="23"/>
      <c r="C460" s="23"/>
      <c r="D460" s="160"/>
      <c r="F460" s="135"/>
      <c r="G460" s="23"/>
      <c r="H460" s="23"/>
      <c r="I460" s="160"/>
    </row>
    <row r="461" spans="1:9" x14ac:dyDescent="0.3">
      <c r="A461" s="135"/>
      <c r="B461" s="23"/>
      <c r="C461" s="23"/>
      <c r="D461" s="160"/>
      <c r="F461" s="135"/>
      <c r="G461" s="23"/>
      <c r="H461" s="23"/>
      <c r="I461" s="160"/>
    </row>
    <row r="462" spans="1:9" x14ac:dyDescent="0.3">
      <c r="A462" s="135"/>
      <c r="B462" s="23"/>
      <c r="C462" s="23"/>
      <c r="D462" s="160"/>
      <c r="F462" s="135"/>
      <c r="G462" s="23"/>
      <c r="H462" s="23"/>
      <c r="I462" s="160"/>
    </row>
    <row r="463" spans="1:9" x14ac:dyDescent="0.3">
      <c r="A463" s="135"/>
      <c r="B463" s="23"/>
      <c r="C463" s="23"/>
      <c r="D463" s="160"/>
      <c r="F463" s="135"/>
      <c r="G463" s="23"/>
      <c r="H463" s="23"/>
      <c r="I463" s="160"/>
    </row>
    <row r="464" spans="1:9" x14ac:dyDescent="0.3">
      <c r="A464" s="135"/>
      <c r="B464" s="23"/>
      <c r="C464" s="23"/>
      <c r="D464" s="160"/>
      <c r="F464" s="135"/>
      <c r="G464" s="23"/>
      <c r="H464" s="23"/>
      <c r="I464" s="160"/>
    </row>
    <row r="465" spans="1:9" x14ac:dyDescent="0.3">
      <c r="A465" s="135"/>
      <c r="B465" s="23"/>
      <c r="C465" s="23"/>
      <c r="D465" s="160"/>
      <c r="F465" s="135"/>
      <c r="G465" s="23"/>
      <c r="H465" s="23"/>
      <c r="I465" s="160"/>
    </row>
    <row r="466" spans="1:9" x14ac:dyDescent="0.3">
      <c r="A466" s="135"/>
      <c r="B466" s="23"/>
      <c r="C466" s="23"/>
      <c r="D466" s="160"/>
      <c r="F466" s="135"/>
      <c r="G466" s="23"/>
      <c r="H466" s="23"/>
      <c r="I466" s="160"/>
    </row>
    <row r="467" spans="1:9" x14ac:dyDescent="0.3">
      <c r="A467" s="135"/>
      <c r="B467" s="23"/>
      <c r="C467" s="23"/>
      <c r="D467" s="160"/>
      <c r="F467" s="135"/>
      <c r="G467" s="23"/>
      <c r="H467" s="23"/>
      <c r="I467" s="160"/>
    </row>
    <row r="468" spans="1:9" x14ac:dyDescent="0.3">
      <c r="A468" s="135"/>
      <c r="B468" s="23"/>
      <c r="C468" s="23"/>
      <c r="D468" s="160"/>
      <c r="F468" s="135"/>
      <c r="G468" s="23"/>
      <c r="H468" s="23"/>
      <c r="I468" s="160"/>
    </row>
    <row r="469" spans="1:9" x14ac:dyDescent="0.3">
      <c r="A469" s="135"/>
      <c r="B469" s="23"/>
      <c r="C469" s="23"/>
      <c r="D469" s="160"/>
      <c r="F469" s="135"/>
      <c r="G469" s="23"/>
      <c r="H469" s="23"/>
      <c r="I469" s="160"/>
    </row>
    <row r="470" spans="1:9" x14ac:dyDescent="0.3">
      <c r="A470" s="135"/>
      <c r="B470" s="23"/>
      <c r="C470" s="23"/>
      <c r="D470" s="160"/>
      <c r="F470" s="135"/>
      <c r="G470" s="23"/>
      <c r="H470" s="23"/>
      <c r="I470" s="160"/>
    </row>
    <row r="471" spans="1:9" x14ac:dyDescent="0.3">
      <c r="A471" s="135"/>
      <c r="B471" s="23"/>
      <c r="C471" s="23"/>
      <c r="D471" s="160"/>
      <c r="F471" s="135"/>
      <c r="G471" s="23"/>
      <c r="H471" s="23"/>
      <c r="I471" s="160"/>
    </row>
    <row r="472" spans="1:9" x14ac:dyDescent="0.3">
      <c r="A472" s="135"/>
      <c r="B472" s="23"/>
      <c r="C472" s="23"/>
      <c r="D472" s="160"/>
      <c r="F472" s="135"/>
      <c r="G472" s="23"/>
      <c r="H472" s="23"/>
      <c r="I472" s="160"/>
    </row>
    <row r="473" spans="1:9" x14ac:dyDescent="0.3">
      <c r="A473" s="135"/>
      <c r="B473" s="23"/>
      <c r="C473" s="23"/>
      <c r="D473" s="160"/>
      <c r="F473" s="135"/>
      <c r="G473" s="23"/>
      <c r="H473" s="23"/>
      <c r="I473" s="160"/>
    </row>
    <row r="474" spans="1:9" x14ac:dyDescent="0.3">
      <c r="A474" s="135"/>
      <c r="B474" s="23"/>
      <c r="C474" s="23"/>
      <c r="D474" s="160"/>
      <c r="F474" s="135"/>
      <c r="G474" s="23"/>
      <c r="H474" s="23"/>
      <c r="I474" s="160"/>
    </row>
    <row r="475" spans="1:9" x14ac:dyDescent="0.3">
      <c r="A475" s="135"/>
      <c r="B475" s="23"/>
      <c r="C475" s="23"/>
      <c r="D475" s="160"/>
      <c r="F475" s="135"/>
      <c r="G475" s="23"/>
      <c r="H475" s="23"/>
      <c r="I475" s="160"/>
    </row>
    <row r="476" spans="1:9" x14ac:dyDescent="0.3">
      <c r="A476" s="135"/>
      <c r="B476" s="23"/>
      <c r="C476" s="23"/>
      <c r="D476" s="160"/>
      <c r="F476" s="135"/>
      <c r="G476" s="23"/>
      <c r="H476" s="23"/>
      <c r="I476" s="160"/>
    </row>
    <row r="477" spans="1:9" x14ac:dyDescent="0.3">
      <c r="A477" s="135"/>
      <c r="B477" s="23"/>
      <c r="C477" s="23"/>
      <c r="D477" s="160"/>
      <c r="F477" s="135"/>
      <c r="G477" s="23"/>
      <c r="H477" s="23"/>
      <c r="I477" s="160"/>
    </row>
    <row r="478" spans="1:9" x14ac:dyDescent="0.3">
      <c r="A478" s="135"/>
      <c r="B478" s="23"/>
      <c r="C478" s="23"/>
      <c r="D478" s="160"/>
      <c r="F478" s="135"/>
      <c r="G478" s="23"/>
      <c r="H478" s="23"/>
      <c r="I478" s="160"/>
    </row>
    <row r="479" spans="1:9" x14ac:dyDescent="0.3">
      <c r="A479" s="135"/>
      <c r="B479" s="23"/>
      <c r="C479" s="23"/>
      <c r="D479" s="160"/>
      <c r="F479" s="135"/>
      <c r="G479" s="23"/>
      <c r="H479" s="23"/>
      <c r="I479" s="160"/>
    </row>
    <row r="480" spans="1:9" x14ac:dyDescent="0.3">
      <c r="A480" s="135"/>
      <c r="B480" s="23"/>
      <c r="C480" s="23"/>
      <c r="D480" s="160"/>
      <c r="F480" s="135"/>
      <c r="G480" s="23"/>
      <c r="H480" s="23"/>
      <c r="I480" s="160"/>
    </row>
    <row r="481" spans="1:9" x14ac:dyDescent="0.3">
      <c r="A481" s="135"/>
      <c r="B481" s="23"/>
      <c r="C481" s="23"/>
      <c r="D481" s="160"/>
      <c r="F481" s="135"/>
      <c r="G481" s="23"/>
      <c r="H481" s="23"/>
      <c r="I481" s="160"/>
    </row>
    <row r="482" spans="1:9" x14ac:dyDescent="0.3">
      <c r="A482" s="135"/>
      <c r="B482" s="23"/>
      <c r="C482" s="23"/>
      <c r="D482" s="160"/>
      <c r="F482" s="135"/>
      <c r="G482" s="23"/>
      <c r="H482" s="23"/>
      <c r="I482" s="160"/>
    </row>
    <row r="483" spans="1:9" x14ac:dyDescent="0.3">
      <c r="A483" s="135"/>
      <c r="B483" s="23"/>
      <c r="C483" s="23"/>
      <c r="D483" s="160"/>
      <c r="F483" s="135"/>
      <c r="G483" s="23"/>
      <c r="H483" s="23"/>
      <c r="I483" s="160"/>
    </row>
    <row r="484" spans="1:9" x14ac:dyDescent="0.3">
      <c r="A484" s="135"/>
      <c r="B484" s="23"/>
      <c r="C484" s="23"/>
      <c r="D484" s="160"/>
      <c r="F484" s="135"/>
      <c r="G484" s="23"/>
      <c r="H484" s="23"/>
      <c r="I484" s="160"/>
    </row>
    <row r="485" spans="1:9" x14ac:dyDescent="0.3">
      <c r="A485" s="135"/>
      <c r="B485" s="23"/>
      <c r="C485" s="23"/>
      <c r="D485" s="160"/>
      <c r="F485" s="135"/>
      <c r="G485" s="23"/>
      <c r="H485" s="23"/>
      <c r="I485" s="160"/>
    </row>
    <row r="486" spans="1:9" x14ac:dyDescent="0.3">
      <c r="A486" s="135"/>
      <c r="B486" s="23"/>
      <c r="C486" s="23"/>
      <c r="D486" s="160"/>
      <c r="F486" s="135"/>
      <c r="G486" s="23"/>
      <c r="H486" s="23"/>
      <c r="I486" s="160"/>
    </row>
    <row r="487" spans="1:9" x14ac:dyDescent="0.3">
      <c r="A487" s="135"/>
      <c r="B487" s="23"/>
      <c r="C487" s="23"/>
      <c r="D487" s="160"/>
      <c r="F487" s="135"/>
      <c r="G487" s="23"/>
      <c r="H487" s="23"/>
      <c r="I487" s="160"/>
    </row>
    <row r="488" spans="1:9" x14ac:dyDescent="0.3">
      <c r="A488" s="135"/>
      <c r="B488" s="23"/>
      <c r="C488" s="23"/>
      <c r="D488" s="160"/>
      <c r="F488" s="135"/>
      <c r="G488" s="23"/>
      <c r="H488" s="23"/>
      <c r="I488" s="160"/>
    </row>
    <row r="489" spans="1:9" x14ac:dyDescent="0.3">
      <c r="A489" s="135"/>
      <c r="B489" s="23"/>
      <c r="C489" s="23"/>
      <c r="D489" s="160"/>
      <c r="F489" s="135"/>
      <c r="G489" s="23"/>
      <c r="H489" s="23"/>
      <c r="I489" s="160"/>
    </row>
    <row r="490" spans="1:9" x14ac:dyDescent="0.3">
      <c r="A490" s="135"/>
      <c r="B490" s="23"/>
      <c r="C490" s="23"/>
      <c r="D490" s="160"/>
      <c r="F490" s="135"/>
      <c r="G490" s="23"/>
      <c r="H490" s="23"/>
      <c r="I490" s="160"/>
    </row>
    <row r="491" spans="1:9" x14ac:dyDescent="0.3">
      <c r="A491" s="135"/>
      <c r="B491" s="23"/>
      <c r="C491" s="23"/>
      <c r="D491" s="160"/>
      <c r="F491" s="135"/>
      <c r="G491" s="23"/>
      <c r="H491" s="23"/>
      <c r="I491" s="160"/>
    </row>
    <row r="492" spans="1:9" x14ac:dyDescent="0.3">
      <c r="A492" s="135"/>
      <c r="B492" s="23"/>
      <c r="C492" s="23"/>
      <c r="D492" s="160"/>
      <c r="F492" s="135"/>
      <c r="G492" s="23"/>
      <c r="H492" s="23"/>
      <c r="I492" s="160"/>
    </row>
    <row r="493" spans="1:9" x14ac:dyDescent="0.3">
      <c r="A493" s="135"/>
      <c r="B493" s="23"/>
      <c r="C493" s="23"/>
      <c r="D493" s="160"/>
      <c r="F493" s="135"/>
      <c r="G493" s="23"/>
      <c r="H493" s="23"/>
      <c r="I493" s="160"/>
    </row>
    <row r="494" spans="1:9" x14ac:dyDescent="0.3">
      <c r="A494" s="135"/>
      <c r="B494" s="23"/>
      <c r="C494" s="23"/>
      <c r="D494" s="160"/>
      <c r="F494" s="135"/>
      <c r="G494" s="23"/>
      <c r="H494" s="23"/>
      <c r="I494" s="160"/>
    </row>
    <row r="495" spans="1:9" x14ac:dyDescent="0.3">
      <c r="A495" s="135"/>
      <c r="B495" s="23"/>
      <c r="C495" s="23"/>
      <c r="D495" s="160"/>
      <c r="F495" s="135"/>
      <c r="G495" s="23"/>
      <c r="H495" s="23"/>
      <c r="I495" s="160"/>
    </row>
    <row r="496" spans="1:9" x14ac:dyDescent="0.3">
      <c r="A496" s="135"/>
      <c r="B496" s="23"/>
      <c r="C496" s="23"/>
      <c r="D496" s="160"/>
      <c r="F496" s="135"/>
      <c r="G496" s="23"/>
      <c r="H496" s="23"/>
      <c r="I496" s="160"/>
    </row>
    <row r="497" spans="1:9" x14ac:dyDescent="0.3">
      <c r="A497" s="135"/>
      <c r="B497" s="23"/>
      <c r="C497" s="23"/>
      <c r="D497" s="160"/>
      <c r="F497" s="135"/>
      <c r="G497" s="23"/>
      <c r="H497" s="23"/>
      <c r="I497" s="160"/>
    </row>
    <row r="498" spans="1:9" x14ac:dyDescent="0.3">
      <c r="A498" s="135"/>
      <c r="B498" s="23"/>
      <c r="C498" s="23"/>
      <c r="D498" s="160"/>
      <c r="F498" s="135"/>
      <c r="G498" s="23"/>
      <c r="H498" s="23"/>
      <c r="I498" s="160"/>
    </row>
    <row r="499" spans="1:9" x14ac:dyDescent="0.3">
      <c r="A499" s="135"/>
      <c r="B499" s="23"/>
      <c r="C499" s="23"/>
      <c r="D499" s="160"/>
      <c r="F499" s="135"/>
      <c r="G499" s="23"/>
      <c r="H499" s="23"/>
      <c r="I499" s="160"/>
    </row>
    <row r="500" spans="1:9" ht="15" thickBot="1" x14ac:dyDescent="0.35">
      <c r="A500" s="161"/>
      <c r="B500" s="162"/>
      <c r="C500" s="162"/>
      <c r="D500" s="163"/>
      <c r="F500" s="161"/>
      <c r="G500" s="162"/>
      <c r="H500" s="162"/>
      <c r="I500" s="163"/>
    </row>
  </sheetData>
  <mergeCells count="10">
    <mergeCell ref="U6:V6"/>
    <mergeCell ref="W6:X6"/>
    <mergeCell ref="U4:V4"/>
    <mergeCell ref="W4:X4"/>
    <mergeCell ref="A1:I1"/>
    <mergeCell ref="K1:S1"/>
    <mergeCell ref="A2:D2"/>
    <mergeCell ref="F2:I2"/>
    <mergeCell ref="K2:N2"/>
    <mergeCell ref="P2:S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W139"/>
  <sheetViews>
    <sheetView topLeftCell="J1" zoomScale="62" zoomScaleNormal="62" workbookViewId="0">
      <selection activeCell="AL29" sqref="AL29"/>
    </sheetView>
  </sheetViews>
  <sheetFormatPr baseColWidth="10" defaultColWidth="11.44140625" defaultRowHeight="14.4" x14ac:dyDescent="0.3"/>
  <cols>
    <col min="1" max="1" width="23.44140625" hidden="1" customWidth="1"/>
    <col min="2" max="2" width="22.5546875" hidden="1" customWidth="1"/>
    <col min="3" max="3" width="19.5546875" hidden="1" customWidth="1"/>
    <col min="4" max="4" width="17.6640625" hidden="1" customWidth="1"/>
  </cols>
  <sheetData>
    <row r="1" spans="1:23" ht="15" thickBot="1" x14ac:dyDescent="0.35"/>
    <row r="2" spans="1:23" ht="34.200000000000003" thickBot="1" x14ac:dyDescent="0.35">
      <c r="A2" s="176" t="s">
        <v>78</v>
      </c>
      <c r="B2" t="s">
        <v>76</v>
      </c>
      <c r="C2" t="s">
        <v>75</v>
      </c>
      <c r="R2" s="280" t="s">
        <v>73</v>
      </c>
      <c r="S2" s="281"/>
      <c r="T2" s="281"/>
      <c r="U2" s="281"/>
      <c r="V2" s="281"/>
      <c r="W2" s="282"/>
    </row>
    <row r="3" spans="1:23" x14ac:dyDescent="0.3">
      <c r="A3" s="177" t="s">
        <v>309</v>
      </c>
      <c r="B3" s="178">
        <v>1</v>
      </c>
      <c r="C3" s="178">
        <v>68</v>
      </c>
    </row>
    <row r="4" spans="1:23" x14ac:dyDescent="0.3">
      <c r="A4" s="177" t="s">
        <v>308</v>
      </c>
      <c r="B4" s="178">
        <v>1</v>
      </c>
      <c r="C4" s="178">
        <v>110</v>
      </c>
    </row>
    <row r="5" spans="1:23" x14ac:dyDescent="0.3">
      <c r="A5" s="177" t="s">
        <v>306</v>
      </c>
      <c r="B5" s="178">
        <v>1</v>
      </c>
      <c r="C5" s="178">
        <v>137</v>
      </c>
    </row>
    <row r="6" spans="1:23" x14ac:dyDescent="0.3">
      <c r="A6" s="177" t="s">
        <v>304</v>
      </c>
      <c r="B6" s="178">
        <v>1</v>
      </c>
      <c r="C6" s="178">
        <v>191</v>
      </c>
    </row>
    <row r="7" spans="1:23" x14ac:dyDescent="0.3">
      <c r="A7" s="177" t="s">
        <v>302</v>
      </c>
      <c r="B7" s="178">
        <v>1</v>
      </c>
      <c r="C7" s="178">
        <v>259</v>
      </c>
    </row>
    <row r="8" spans="1:23" x14ac:dyDescent="0.3">
      <c r="A8" s="177" t="s">
        <v>301</v>
      </c>
      <c r="B8" s="178">
        <v>2</v>
      </c>
      <c r="C8" s="178">
        <v>271</v>
      </c>
    </row>
    <row r="9" spans="1:23" x14ac:dyDescent="0.3">
      <c r="A9" s="177" t="s">
        <v>298</v>
      </c>
      <c r="B9" s="178">
        <v>1</v>
      </c>
      <c r="C9" s="178">
        <v>303</v>
      </c>
    </row>
    <row r="10" spans="1:23" x14ac:dyDescent="0.3">
      <c r="A10" s="177" t="s">
        <v>294</v>
      </c>
      <c r="B10" s="178">
        <v>5</v>
      </c>
      <c r="C10" s="178">
        <v>363</v>
      </c>
    </row>
    <row r="11" spans="1:23" x14ac:dyDescent="0.3">
      <c r="A11" s="177" t="s">
        <v>291</v>
      </c>
      <c r="B11" s="178">
        <v>4</v>
      </c>
      <c r="C11" s="178">
        <v>380</v>
      </c>
    </row>
    <row r="12" spans="1:23" x14ac:dyDescent="0.3">
      <c r="A12" s="177" t="s">
        <v>290</v>
      </c>
      <c r="B12" s="178">
        <v>1</v>
      </c>
      <c r="C12" s="178">
        <v>383</v>
      </c>
    </row>
    <row r="13" spans="1:23" x14ac:dyDescent="0.3">
      <c r="A13" s="177" t="s">
        <v>287</v>
      </c>
      <c r="B13" s="178">
        <v>1</v>
      </c>
      <c r="C13" s="178">
        <v>408</v>
      </c>
    </row>
    <row r="14" spans="1:23" x14ac:dyDescent="0.3">
      <c r="A14" s="177" t="s">
        <v>284</v>
      </c>
      <c r="B14" s="178">
        <v>3</v>
      </c>
      <c r="C14" s="178">
        <v>444</v>
      </c>
    </row>
    <row r="15" spans="1:23" x14ac:dyDescent="0.3">
      <c r="A15" s="177" t="s">
        <v>283</v>
      </c>
      <c r="B15" s="178">
        <v>1</v>
      </c>
      <c r="C15" s="178">
        <v>462</v>
      </c>
    </row>
    <row r="16" spans="1:23" x14ac:dyDescent="0.3">
      <c r="A16" s="177" t="s">
        <v>282</v>
      </c>
      <c r="B16" s="178">
        <v>6</v>
      </c>
      <c r="C16" s="178">
        <v>466</v>
      </c>
    </row>
    <row r="17" spans="1:3" x14ac:dyDescent="0.3">
      <c r="A17" s="177" t="s">
        <v>281</v>
      </c>
      <c r="B17" s="178">
        <v>2</v>
      </c>
      <c r="C17" s="178">
        <v>471</v>
      </c>
    </row>
    <row r="18" spans="1:3" x14ac:dyDescent="0.3">
      <c r="A18" s="177" t="s">
        <v>279</v>
      </c>
      <c r="B18" s="178">
        <v>5</v>
      </c>
      <c r="C18" s="178">
        <v>488</v>
      </c>
    </row>
    <row r="19" spans="1:3" x14ac:dyDescent="0.3">
      <c r="A19" s="177" t="s">
        <v>277</v>
      </c>
      <c r="B19" s="178">
        <v>2</v>
      </c>
      <c r="C19" s="178">
        <v>539</v>
      </c>
    </row>
    <row r="20" spans="1:3" x14ac:dyDescent="0.3">
      <c r="A20" s="177" t="s">
        <v>276</v>
      </c>
      <c r="B20" s="178">
        <v>10</v>
      </c>
      <c r="C20" s="178">
        <v>540</v>
      </c>
    </row>
    <row r="21" spans="1:3" x14ac:dyDescent="0.3">
      <c r="A21" s="177" t="s">
        <v>275</v>
      </c>
      <c r="B21" s="178">
        <v>7</v>
      </c>
      <c r="C21" s="178">
        <v>544</v>
      </c>
    </row>
    <row r="22" spans="1:3" x14ac:dyDescent="0.3">
      <c r="A22" s="177" t="s">
        <v>274</v>
      </c>
      <c r="B22" s="178">
        <v>4</v>
      </c>
      <c r="C22" s="178">
        <v>548</v>
      </c>
    </row>
    <row r="23" spans="1:3" x14ac:dyDescent="0.3">
      <c r="A23" s="177" t="s">
        <v>273</v>
      </c>
      <c r="B23" s="178">
        <v>2</v>
      </c>
      <c r="C23" s="178">
        <v>550</v>
      </c>
    </row>
    <row r="24" spans="1:3" x14ac:dyDescent="0.3">
      <c r="A24" s="177" t="s">
        <v>123</v>
      </c>
      <c r="B24" s="178">
        <v>1</v>
      </c>
      <c r="C24" s="178">
        <v>628</v>
      </c>
    </row>
    <row r="25" spans="1:3" x14ac:dyDescent="0.3">
      <c r="A25" s="177" t="s">
        <v>272</v>
      </c>
      <c r="B25" s="178">
        <v>5</v>
      </c>
      <c r="C25" s="178">
        <v>641</v>
      </c>
    </row>
    <row r="26" spans="1:3" x14ac:dyDescent="0.3">
      <c r="A26" s="177" t="s">
        <v>267</v>
      </c>
      <c r="B26" s="178">
        <v>1</v>
      </c>
      <c r="C26" s="178">
        <v>709</v>
      </c>
    </row>
    <row r="27" spans="1:3" x14ac:dyDescent="0.3">
      <c r="A27" s="177" t="s">
        <v>264</v>
      </c>
      <c r="B27" s="178">
        <v>4</v>
      </c>
      <c r="C27" s="178">
        <v>761</v>
      </c>
    </row>
    <row r="28" spans="1:3" x14ac:dyDescent="0.3">
      <c r="A28" s="177" t="s">
        <v>263</v>
      </c>
      <c r="B28" s="178">
        <v>3</v>
      </c>
      <c r="C28" s="178">
        <v>766</v>
      </c>
    </row>
    <row r="29" spans="1:3" x14ac:dyDescent="0.3">
      <c r="A29" s="177" t="s">
        <v>262</v>
      </c>
      <c r="B29" s="178">
        <v>4</v>
      </c>
      <c r="C29" s="178">
        <v>779</v>
      </c>
    </row>
    <row r="30" spans="1:3" x14ac:dyDescent="0.3">
      <c r="A30" s="177" t="s">
        <v>103</v>
      </c>
      <c r="B30" s="178">
        <v>3</v>
      </c>
      <c r="C30" s="178">
        <v>781</v>
      </c>
    </row>
    <row r="31" spans="1:3" x14ac:dyDescent="0.3">
      <c r="A31" s="177" t="s">
        <v>261</v>
      </c>
      <c r="B31" s="178">
        <v>8</v>
      </c>
      <c r="C31" s="178">
        <v>785</v>
      </c>
    </row>
    <row r="32" spans="1:3" x14ac:dyDescent="0.3">
      <c r="A32" s="177" t="s">
        <v>260</v>
      </c>
      <c r="B32" s="178">
        <v>1</v>
      </c>
      <c r="C32" s="178">
        <v>793</v>
      </c>
    </row>
    <row r="33" spans="1:19" x14ac:dyDescent="0.3">
      <c r="A33" s="177" t="s">
        <v>258</v>
      </c>
      <c r="B33" s="178">
        <v>10</v>
      </c>
      <c r="C33" s="178">
        <v>812</v>
      </c>
    </row>
    <row r="34" spans="1:19" x14ac:dyDescent="0.3">
      <c r="A34" s="177" t="s">
        <v>256</v>
      </c>
      <c r="B34" s="178">
        <v>13</v>
      </c>
      <c r="C34" s="178">
        <v>848</v>
      </c>
    </row>
    <row r="35" spans="1:19" x14ac:dyDescent="0.3">
      <c r="A35" s="177" t="s">
        <v>253</v>
      </c>
      <c r="B35" s="178">
        <v>3</v>
      </c>
      <c r="C35" s="178">
        <v>900</v>
      </c>
    </row>
    <row r="36" spans="1:19" x14ac:dyDescent="0.3">
      <c r="A36" s="177" t="s">
        <v>254</v>
      </c>
      <c r="B36" s="178">
        <v>13</v>
      </c>
      <c r="C36" s="178">
        <v>900</v>
      </c>
    </row>
    <row r="37" spans="1:19" x14ac:dyDescent="0.3">
      <c r="A37" s="177" t="s">
        <v>249</v>
      </c>
      <c r="B37" s="178">
        <v>3</v>
      </c>
      <c r="C37" s="178">
        <v>925</v>
      </c>
    </row>
    <row r="38" spans="1:19" x14ac:dyDescent="0.3">
      <c r="A38" s="177" t="s">
        <v>247</v>
      </c>
      <c r="B38" s="178">
        <v>25</v>
      </c>
      <c r="C38" s="178">
        <v>963</v>
      </c>
    </row>
    <row r="39" spans="1:19" x14ac:dyDescent="0.3">
      <c r="A39" s="177" t="s">
        <v>246</v>
      </c>
      <c r="B39" s="178">
        <v>2</v>
      </c>
      <c r="C39" s="178">
        <v>966</v>
      </c>
    </row>
    <row r="40" spans="1:19" ht="15" thickBot="1" x14ac:dyDescent="0.35">
      <c r="A40" s="177" t="s">
        <v>245</v>
      </c>
      <c r="B40" s="178">
        <v>15</v>
      </c>
      <c r="C40" s="178">
        <v>1017</v>
      </c>
    </row>
    <row r="41" spans="1:19" ht="34.200000000000003" thickBot="1" x14ac:dyDescent="0.35">
      <c r="A41" s="176" t="s">
        <v>78</v>
      </c>
      <c r="B41" t="s">
        <v>76</v>
      </c>
      <c r="C41" t="s">
        <v>75</v>
      </c>
      <c r="O41" s="280" t="s">
        <v>74</v>
      </c>
      <c r="P41" s="281"/>
      <c r="Q41" s="281"/>
      <c r="R41" s="281"/>
      <c r="S41" s="282"/>
    </row>
    <row r="42" spans="1:19" x14ac:dyDescent="0.3">
      <c r="A42" s="177" t="s">
        <v>307</v>
      </c>
      <c r="B42" s="178">
        <v>1</v>
      </c>
      <c r="C42" s="178">
        <v>112</v>
      </c>
    </row>
    <row r="43" spans="1:19" x14ac:dyDescent="0.3">
      <c r="A43" s="177" t="s">
        <v>305</v>
      </c>
      <c r="B43" s="178">
        <v>1</v>
      </c>
      <c r="C43" s="178">
        <v>157</v>
      </c>
    </row>
    <row r="44" spans="1:19" x14ac:dyDescent="0.3">
      <c r="A44" s="177" t="s">
        <v>303</v>
      </c>
      <c r="B44" s="178">
        <v>1</v>
      </c>
      <c r="C44" s="178">
        <v>203</v>
      </c>
    </row>
    <row r="45" spans="1:19" x14ac:dyDescent="0.3">
      <c r="A45" s="177" t="s">
        <v>95</v>
      </c>
      <c r="B45" s="178">
        <v>1</v>
      </c>
      <c r="C45" s="178">
        <v>205</v>
      </c>
    </row>
    <row r="46" spans="1:19" x14ac:dyDescent="0.3">
      <c r="A46" s="177" t="s">
        <v>145</v>
      </c>
      <c r="B46" s="178">
        <v>1</v>
      </c>
      <c r="C46" s="178">
        <v>254</v>
      </c>
    </row>
    <row r="47" spans="1:19" x14ac:dyDescent="0.3">
      <c r="A47" s="177" t="s">
        <v>300</v>
      </c>
      <c r="B47" s="178">
        <v>1</v>
      </c>
      <c r="C47" s="178">
        <v>284</v>
      </c>
    </row>
    <row r="48" spans="1:19" x14ac:dyDescent="0.3">
      <c r="A48" s="177" t="s">
        <v>299</v>
      </c>
      <c r="B48" s="178">
        <v>3</v>
      </c>
      <c r="C48" s="178">
        <v>303</v>
      </c>
    </row>
    <row r="49" spans="1:3" x14ac:dyDescent="0.3">
      <c r="A49" s="177" t="s">
        <v>297</v>
      </c>
      <c r="B49" s="178">
        <v>1</v>
      </c>
      <c r="C49" s="178">
        <v>323</v>
      </c>
    </row>
    <row r="50" spans="1:3" x14ac:dyDescent="0.3">
      <c r="A50" s="177" t="s">
        <v>296</v>
      </c>
      <c r="B50" s="178">
        <v>1</v>
      </c>
      <c r="C50" s="178">
        <v>330</v>
      </c>
    </row>
    <row r="51" spans="1:3" x14ac:dyDescent="0.3">
      <c r="A51" s="177" t="s">
        <v>295</v>
      </c>
      <c r="B51" s="178">
        <v>7</v>
      </c>
      <c r="C51" s="178">
        <v>353</v>
      </c>
    </row>
    <row r="52" spans="1:3" x14ac:dyDescent="0.3">
      <c r="A52" s="177" t="s">
        <v>293</v>
      </c>
      <c r="B52" s="178">
        <v>1</v>
      </c>
      <c r="C52" s="178">
        <v>366</v>
      </c>
    </row>
    <row r="53" spans="1:3" x14ac:dyDescent="0.3">
      <c r="A53" s="177" t="s">
        <v>292</v>
      </c>
      <c r="B53" s="178">
        <v>1</v>
      </c>
      <c r="C53" s="178">
        <v>368</v>
      </c>
    </row>
    <row r="54" spans="1:3" x14ac:dyDescent="0.3">
      <c r="A54" s="177" t="s">
        <v>289</v>
      </c>
      <c r="B54" s="178">
        <v>2</v>
      </c>
      <c r="C54" s="178">
        <v>384</v>
      </c>
    </row>
    <row r="55" spans="1:3" x14ac:dyDescent="0.3">
      <c r="A55" s="177" t="s">
        <v>143</v>
      </c>
      <c r="B55" s="178">
        <v>1</v>
      </c>
      <c r="C55" s="178">
        <v>392</v>
      </c>
    </row>
    <row r="56" spans="1:3" x14ac:dyDescent="0.3">
      <c r="A56" s="177" t="s">
        <v>288</v>
      </c>
      <c r="B56" s="178">
        <v>2</v>
      </c>
      <c r="C56" s="178">
        <v>408</v>
      </c>
    </row>
    <row r="57" spans="1:3" x14ac:dyDescent="0.3">
      <c r="A57" s="177" t="s">
        <v>286</v>
      </c>
      <c r="B57" s="178">
        <v>4</v>
      </c>
      <c r="C57" s="178">
        <v>410</v>
      </c>
    </row>
    <row r="58" spans="1:3" x14ac:dyDescent="0.3">
      <c r="A58" s="177" t="s">
        <v>285</v>
      </c>
      <c r="B58" s="178">
        <v>2</v>
      </c>
      <c r="C58" s="178">
        <v>416</v>
      </c>
    </row>
    <row r="59" spans="1:3" x14ac:dyDescent="0.3">
      <c r="A59" s="177" t="s">
        <v>114</v>
      </c>
      <c r="B59" s="178">
        <v>3</v>
      </c>
      <c r="C59" s="178">
        <v>439</v>
      </c>
    </row>
    <row r="60" spans="1:3" x14ac:dyDescent="0.3">
      <c r="A60" s="177" t="s">
        <v>280</v>
      </c>
      <c r="B60" s="178">
        <v>3</v>
      </c>
      <c r="C60" s="178">
        <v>485</v>
      </c>
    </row>
    <row r="61" spans="1:3" x14ac:dyDescent="0.3">
      <c r="A61" s="177" t="s">
        <v>278</v>
      </c>
      <c r="B61" s="178">
        <v>4</v>
      </c>
      <c r="C61" s="178">
        <v>520</v>
      </c>
    </row>
    <row r="62" spans="1:3" x14ac:dyDescent="0.3">
      <c r="A62" s="177" t="s">
        <v>113</v>
      </c>
      <c r="B62" s="178">
        <v>6</v>
      </c>
      <c r="C62" s="178">
        <v>606</v>
      </c>
    </row>
    <row r="63" spans="1:3" x14ac:dyDescent="0.3">
      <c r="A63" s="177" t="s">
        <v>88</v>
      </c>
      <c r="B63" s="178">
        <v>1</v>
      </c>
      <c r="C63" s="178">
        <v>628</v>
      </c>
    </row>
    <row r="64" spans="1:3" x14ac:dyDescent="0.3">
      <c r="A64" s="177" t="s">
        <v>271</v>
      </c>
      <c r="B64" s="178">
        <v>1</v>
      </c>
      <c r="C64" s="178">
        <v>647</v>
      </c>
    </row>
    <row r="65" spans="1:3" x14ac:dyDescent="0.3">
      <c r="A65" s="177" t="s">
        <v>270</v>
      </c>
      <c r="B65" s="178">
        <v>4</v>
      </c>
      <c r="C65" s="178">
        <v>647</v>
      </c>
    </row>
    <row r="66" spans="1:3" x14ac:dyDescent="0.3">
      <c r="A66" s="177" t="s">
        <v>136</v>
      </c>
      <c r="B66" s="178">
        <v>8</v>
      </c>
      <c r="C66" s="178">
        <v>658</v>
      </c>
    </row>
    <row r="67" spans="1:3" x14ac:dyDescent="0.3">
      <c r="A67" s="177" t="s">
        <v>269</v>
      </c>
      <c r="B67" s="178">
        <v>8</v>
      </c>
      <c r="C67" s="178">
        <v>675</v>
      </c>
    </row>
    <row r="68" spans="1:3" x14ac:dyDescent="0.3">
      <c r="A68" s="177" t="s">
        <v>268</v>
      </c>
      <c r="B68" s="178">
        <v>5</v>
      </c>
      <c r="C68" s="178">
        <v>680</v>
      </c>
    </row>
    <row r="69" spans="1:3" x14ac:dyDescent="0.3">
      <c r="A69" s="177" t="s">
        <v>266</v>
      </c>
      <c r="B69" s="178">
        <v>2</v>
      </c>
      <c r="C69" s="178">
        <v>713</v>
      </c>
    </row>
    <row r="70" spans="1:3" x14ac:dyDescent="0.3">
      <c r="A70" s="177" t="s">
        <v>265</v>
      </c>
      <c r="B70" s="178">
        <v>5</v>
      </c>
      <c r="C70" s="178">
        <v>715</v>
      </c>
    </row>
    <row r="71" spans="1:3" x14ac:dyDescent="0.3">
      <c r="A71" s="177" t="s">
        <v>259</v>
      </c>
      <c r="B71" s="178">
        <v>1</v>
      </c>
      <c r="C71" s="178">
        <v>803</v>
      </c>
    </row>
    <row r="72" spans="1:3" x14ac:dyDescent="0.3">
      <c r="A72" s="177" t="s">
        <v>257</v>
      </c>
      <c r="B72" s="178">
        <v>3</v>
      </c>
      <c r="C72" s="178">
        <v>819</v>
      </c>
    </row>
    <row r="73" spans="1:3" x14ac:dyDescent="0.3">
      <c r="A73" s="177" t="s">
        <v>255</v>
      </c>
      <c r="B73" s="178">
        <v>8</v>
      </c>
      <c r="C73" s="178">
        <v>858</v>
      </c>
    </row>
    <row r="74" spans="1:3" x14ac:dyDescent="0.3">
      <c r="A74" s="177" t="s">
        <v>138</v>
      </c>
      <c r="B74" s="178">
        <v>4</v>
      </c>
      <c r="C74" s="178">
        <v>894</v>
      </c>
    </row>
    <row r="75" spans="1:3" x14ac:dyDescent="0.3">
      <c r="A75" s="177" t="s">
        <v>252</v>
      </c>
      <c r="B75" s="178">
        <v>3</v>
      </c>
      <c r="C75" s="178">
        <v>912</v>
      </c>
    </row>
    <row r="76" spans="1:3" x14ac:dyDescent="0.3">
      <c r="A76" s="177" t="s">
        <v>251</v>
      </c>
      <c r="B76" s="178">
        <v>7</v>
      </c>
      <c r="C76" s="178">
        <v>916</v>
      </c>
    </row>
    <row r="77" spans="1:3" x14ac:dyDescent="0.3">
      <c r="A77" s="177" t="s">
        <v>250</v>
      </c>
      <c r="B77" s="178">
        <v>4</v>
      </c>
      <c r="C77" s="178">
        <v>919</v>
      </c>
    </row>
    <row r="78" spans="1:3" x14ac:dyDescent="0.3">
      <c r="A78" s="177" t="s">
        <v>248</v>
      </c>
      <c r="B78" s="178">
        <v>13</v>
      </c>
      <c r="C78" s="178">
        <v>954</v>
      </c>
    </row>
    <row r="79" spans="1:3" x14ac:dyDescent="0.3">
      <c r="A79" s="177" t="s">
        <v>244</v>
      </c>
      <c r="B79" s="178">
        <v>7</v>
      </c>
      <c r="C79" s="178">
        <v>1023</v>
      </c>
    </row>
    <row r="80" spans="1:3" x14ac:dyDescent="0.3">
      <c r="A80" s="176" t="s">
        <v>78</v>
      </c>
      <c r="B80" t="s">
        <v>77</v>
      </c>
      <c r="C80" t="s">
        <v>75</v>
      </c>
    </row>
    <row r="81" spans="1:3" x14ac:dyDescent="0.3">
      <c r="A81" s="177" t="s">
        <v>282</v>
      </c>
      <c r="B81" s="178">
        <v>1</v>
      </c>
      <c r="C81" s="178">
        <v>1010</v>
      </c>
    </row>
    <row r="82" spans="1:3" x14ac:dyDescent="0.3">
      <c r="A82" s="177" t="s">
        <v>304</v>
      </c>
      <c r="B82" s="178">
        <v>1</v>
      </c>
      <c r="C82" s="178">
        <v>1190</v>
      </c>
    </row>
    <row r="83" spans="1:3" x14ac:dyDescent="0.3">
      <c r="A83" s="177" t="s">
        <v>253</v>
      </c>
      <c r="B83" s="178">
        <v>1</v>
      </c>
      <c r="C83" s="178">
        <v>1851</v>
      </c>
    </row>
    <row r="84" spans="1:3" x14ac:dyDescent="0.3">
      <c r="A84" s="177" t="s">
        <v>276</v>
      </c>
      <c r="B84" s="178">
        <v>2</v>
      </c>
      <c r="C84" s="178">
        <v>2150</v>
      </c>
    </row>
    <row r="85" spans="1:3" x14ac:dyDescent="0.3">
      <c r="A85" s="177" t="s">
        <v>245</v>
      </c>
      <c r="B85" s="178">
        <v>3</v>
      </c>
      <c r="C85" s="178">
        <v>2197</v>
      </c>
    </row>
    <row r="86" spans="1:3" x14ac:dyDescent="0.3">
      <c r="A86" s="177" t="s">
        <v>298</v>
      </c>
      <c r="B86" s="178">
        <v>1</v>
      </c>
      <c r="C86" s="178">
        <v>2222</v>
      </c>
    </row>
    <row r="87" spans="1:3" x14ac:dyDescent="0.3">
      <c r="A87" s="177" t="s">
        <v>264</v>
      </c>
      <c r="B87" s="178">
        <v>1</v>
      </c>
      <c r="C87" s="178">
        <v>2380</v>
      </c>
    </row>
    <row r="88" spans="1:3" x14ac:dyDescent="0.3">
      <c r="A88" s="177" t="s">
        <v>262</v>
      </c>
      <c r="B88" s="178">
        <v>1</v>
      </c>
      <c r="C88" s="178">
        <v>2380</v>
      </c>
    </row>
    <row r="89" spans="1:3" x14ac:dyDescent="0.3">
      <c r="A89" s="177" t="s">
        <v>216</v>
      </c>
      <c r="B89" s="178">
        <v>5</v>
      </c>
      <c r="C89" s="178">
        <v>2777</v>
      </c>
    </row>
    <row r="90" spans="1:3" x14ac:dyDescent="0.3">
      <c r="A90" s="177" t="s">
        <v>228</v>
      </c>
      <c r="B90" s="178">
        <v>2</v>
      </c>
      <c r="C90" s="178">
        <v>3508</v>
      </c>
    </row>
    <row r="91" spans="1:3" x14ac:dyDescent="0.3">
      <c r="A91" s="177" t="s">
        <v>215</v>
      </c>
      <c r="B91" s="178">
        <v>2</v>
      </c>
      <c r="C91" s="178">
        <v>6060</v>
      </c>
    </row>
    <row r="92" spans="1:3" x14ac:dyDescent="0.3">
      <c r="A92" s="177" t="s">
        <v>222</v>
      </c>
      <c r="B92" s="178">
        <v>3</v>
      </c>
      <c r="C92" s="178">
        <v>6250</v>
      </c>
    </row>
    <row r="93" spans="1:3" x14ac:dyDescent="0.3">
      <c r="A93" s="177" t="s">
        <v>211</v>
      </c>
      <c r="B93" s="178">
        <v>2</v>
      </c>
      <c r="C93" s="178">
        <v>9523</v>
      </c>
    </row>
    <row r="94" spans="1:3" x14ac:dyDescent="0.3">
      <c r="A94" s="177" t="s">
        <v>79</v>
      </c>
      <c r="B94" s="178">
        <v>25</v>
      </c>
      <c r="C94" s="178">
        <v>43498</v>
      </c>
    </row>
    <row r="120" spans="1:3" x14ac:dyDescent="0.3">
      <c r="A120" s="176" t="s">
        <v>381</v>
      </c>
      <c r="B120" t="s">
        <v>77</v>
      </c>
      <c r="C120" t="s">
        <v>75</v>
      </c>
    </row>
    <row r="121" spans="1:3" x14ac:dyDescent="0.3">
      <c r="A121" s="177" t="s">
        <v>286</v>
      </c>
      <c r="B121" s="178">
        <v>1</v>
      </c>
      <c r="C121" s="178">
        <v>617</v>
      </c>
    </row>
    <row r="122" spans="1:3" x14ac:dyDescent="0.3">
      <c r="A122" s="177" t="s">
        <v>251</v>
      </c>
      <c r="B122" s="178">
        <v>1</v>
      </c>
      <c r="C122" s="178">
        <v>757</v>
      </c>
    </row>
    <row r="123" spans="1:3" x14ac:dyDescent="0.3">
      <c r="A123" s="177" t="s">
        <v>280</v>
      </c>
      <c r="B123" s="178">
        <v>1</v>
      </c>
      <c r="C123" s="178">
        <v>980</v>
      </c>
    </row>
    <row r="124" spans="1:3" x14ac:dyDescent="0.3">
      <c r="A124" s="177" t="s">
        <v>236</v>
      </c>
      <c r="B124" s="178">
        <v>1</v>
      </c>
      <c r="C124" s="178">
        <v>1149</v>
      </c>
    </row>
    <row r="125" spans="1:3" x14ac:dyDescent="0.3">
      <c r="A125" s="177" t="s">
        <v>252</v>
      </c>
      <c r="B125" s="178">
        <v>1</v>
      </c>
      <c r="C125" s="178">
        <v>1149</v>
      </c>
    </row>
    <row r="126" spans="1:3" x14ac:dyDescent="0.3">
      <c r="A126" s="177" t="s">
        <v>300</v>
      </c>
      <c r="B126" s="178">
        <v>1</v>
      </c>
      <c r="C126" s="178">
        <v>1388</v>
      </c>
    </row>
    <row r="127" spans="1:3" x14ac:dyDescent="0.3">
      <c r="A127" s="177" t="s">
        <v>221</v>
      </c>
      <c r="B127" s="178">
        <v>1</v>
      </c>
      <c r="C127" s="178">
        <v>1515</v>
      </c>
    </row>
    <row r="128" spans="1:3" x14ac:dyDescent="0.3">
      <c r="A128" s="177" t="s">
        <v>232</v>
      </c>
      <c r="B128" s="178">
        <v>1</v>
      </c>
      <c r="C128" s="178">
        <v>1960</v>
      </c>
    </row>
    <row r="129" spans="1:3" x14ac:dyDescent="0.3">
      <c r="A129" s="177" t="s">
        <v>299</v>
      </c>
      <c r="B129" s="178">
        <v>2</v>
      </c>
      <c r="C129" s="178">
        <v>2150</v>
      </c>
    </row>
    <row r="130" spans="1:3" x14ac:dyDescent="0.3">
      <c r="A130" s="177" t="s">
        <v>288</v>
      </c>
      <c r="B130" s="178">
        <v>1</v>
      </c>
      <c r="C130" s="178">
        <v>2380</v>
      </c>
    </row>
    <row r="131" spans="1:3" x14ac:dyDescent="0.3">
      <c r="A131" s="177" t="s">
        <v>255</v>
      </c>
      <c r="B131" s="178">
        <v>2</v>
      </c>
      <c r="C131" s="178">
        <v>2666</v>
      </c>
    </row>
    <row r="132" spans="1:3" x14ac:dyDescent="0.3">
      <c r="A132" s="177" t="s">
        <v>266</v>
      </c>
      <c r="B132" s="178">
        <v>1</v>
      </c>
      <c r="C132" s="178">
        <v>2777</v>
      </c>
    </row>
    <row r="133" spans="1:3" x14ac:dyDescent="0.3">
      <c r="A133" s="177" t="s">
        <v>115</v>
      </c>
      <c r="B133" s="178">
        <v>2</v>
      </c>
      <c r="C133" s="178">
        <v>2962</v>
      </c>
    </row>
    <row r="134" spans="1:3" x14ac:dyDescent="0.3">
      <c r="A134" s="177" t="s">
        <v>82</v>
      </c>
      <c r="B134" s="178">
        <v>1</v>
      </c>
      <c r="C134" s="178">
        <v>3030</v>
      </c>
    </row>
    <row r="135" spans="1:3" x14ac:dyDescent="0.3">
      <c r="A135" s="177" t="s">
        <v>229</v>
      </c>
      <c r="B135" s="178">
        <v>3</v>
      </c>
      <c r="C135" s="178">
        <v>4166</v>
      </c>
    </row>
    <row r="136" spans="1:3" x14ac:dyDescent="0.3">
      <c r="A136" s="177" t="s">
        <v>269</v>
      </c>
      <c r="B136" s="178">
        <v>3</v>
      </c>
      <c r="C136" s="178">
        <v>4437</v>
      </c>
    </row>
    <row r="137" spans="1:3" x14ac:dyDescent="0.3">
      <c r="A137" s="177" t="s">
        <v>259</v>
      </c>
      <c r="B137" s="178">
        <v>1</v>
      </c>
      <c r="C137" s="178">
        <v>5128</v>
      </c>
    </row>
    <row r="138" spans="1:3" x14ac:dyDescent="0.3">
      <c r="A138" s="177" t="s">
        <v>213</v>
      </c>
      <c r="B138" s="178">
        <v>2</v>
      </c>
      <c r="C138" s="178">
        <v>7407</v>
      </c>
    </row>
    <row r="139" spans="1:3" x14ac:dyDescent="0.3">
      <c r="A139" s="177" t="s">
        <v>382</v>
      </c>
      <c r="B139" s="178">
        <v>26</v>
      </c>
      <c r="C139" s="178">
        <v>46618</v>
      </c>
    </row>
  </sheetData>
  <mergeCells count="2">
    <mergeCell ref="R2:W2"/>
    <mergeCell ref="O41:S41"/>
  </mergeCells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PPMS</vt:lpstr>
      <vt:lpstr>Graficas</vt:lpstr>
      <vt:lpstr>GRAF_MENSUAL</vt:lpstr>
      <vt:lpstr>Defectos</vt:lpstr>
      <vt:lpstr>PPMSQC</vt:lpstr>
      <vt:lpstr>INSP-DEF</vt:lpstr>
      <vt:lpstr>PPMSQC GRAF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Perez</dc:creator>
  <cp:lastModifiedBy>Francisco Esteban</cp:lastModifiedBy>
  <dcterms:created xsi:type="dcterms:W3CDTF">2018-05-17T22:36:30Z</dcterms:created>
  <dcterms:modified xsi:type="dcterms:W3CDTF">2021-10-01T22:32:51Z</dcterms:modified>
</cp:coreProperties>
</file>
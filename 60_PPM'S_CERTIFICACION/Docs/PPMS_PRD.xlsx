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ml.chartshape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ml.chartshapes+xml"/>
  <Override PartName="/xl/charts/chart15.xml" ContentType="application/vnd.openxmlformats-officedocument.drawingml.chart+xml"/>
  <Override PartName="/xl/drawings/drawing10.xml" ContentType="application/vnd.openxmlformats-officedocument.drawingml.chartshape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ml.chartshapes+xml"/>
  <Override PartName="/xl/charts/chart20.xml" ContentType="application/vnd.openxmlformats-officedocument.drawingml.chart+xml"/>
  <Override PartName="/xl/drawings/drawing12.xml" ContentType="application/vnd.openxmlformats-officedocument.drawingml.chartshapes+xml"/>
  <Override PartName="/xl/charts/chart21.xml" ContentType="application/vnd.openxmlformats-officedocument.drawingml.chart+xml"/>
  <Override PartName="/xl/drawings/drawing13.xml" ContentType="application/vnd.openxmlformats-officedocument.drawingml.chartshapes+xml"/>
  <Override PartName="/xl/charts/chart22.xml" ContentType="application/vnd.openxmlformats-officedocument.drawingml.chart+xml"/>
  <Override PartName="/xl/drawings/drawing14.xml" ContentType="application/vnd.openxmlformats-officedocument.drawingml.chartshapes+xml"/>
  <Override PartName="/xl/charts/chart23.xml" ContentType="application/vnd.openxmlformats-officedocument.drawingml.chart+xml"/>
  <Override PartName="/xl/drawings/drawing15.xml" ContentType="application/vnd.openxmlformats-officedocument.drawingml.chartshapes+xml"/>
  <Override PartName="/xl/charts/chart24.xml" ContentType="application/vnd.openxmlformats-officedocument.drawingml.chart+xml"/>
  <Override PartName="/xl/drawings/drawing16.xml" ContentType="application/vnd.openxmlformats-officedocument.drawingml.chartshapes+xml"/>
  <Override PartName="/xl/charts/chart25.xml" ContentType="application/vnd.openxmlformats-officedocument.drawingml.chart+xml"/>
  <Override PartName="/xl/drawings/drawing17.xml" ContentType="application/vnd.openxmlformats-officedocument.drawingml.chartshapes+xml"/>
  <Override PartName="/xl/charts/chart26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3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rancisco Esteban\Documents\CONTROL_QUALITY\60_PPM'S_CERTIFICACION\Docs\"/>
    </mc:Choice>
  </mc:AlternateContent>
  <xr:revisionPtr revIDLastSave="0" documentId="8_{46647FE4-BE19-46F2-A972-FA0B4B907B5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PM'S" sheetId="7" r:id="rId1"/>
    <sheet name="GRAFICA PPM'S" sheetId="10" r:id="rId2"/>
    <sheet name="DEFECTOS X MESA" sheetId="12" r:id="rId3"/>
    <sheet name="DEFECTOS COMUNES" sheetId="13" r:id="rId4"/>
    <sheet name="PPM's Det" sheetId="14" r:id="rId5"/>
    <sheet name="Summary" sheetId="15" r:id="rId6"/>
    <sheet name="DEFECTOS DE PIEL X LOTE" sheetId="16" r:id="rId7"/>
    <sheet name="DEFECTOS TOTALES X LOTE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1" i="12" l="1"/>
  <c r="D191" i="12"/>
  <c r="C95" i="12"/>
  <c r="D95" i="12"/>
  <c r="E190" i="12" l="1"/>
  <c r="E93" i="12"/>
  <c r="E94" i="12"/>
  <c r="E124" i="12" l="1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28" i="12" l="1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P119" i="12" l="1"/>
  <c r="P120" i="12"/>
  <c r="P121" i="12"/>
  <c r="P122" i="12"/>
  <c r="P118" i="12"/>
  <c r="P110" i="12"/>
  <c r="P111" i="12"/>
  <c r="P112" i="12"/>
  <c r="P113" i="12"/>
  <c r="P109" i="12"/>
  <c r="P102" i="12"/>
  <c r="P103" i="12"/>
  <c r="P104" i="12"/>
  <c r="P105" i="12"/>
  <c r="P101" i="12"/>
  <c r="P22" i="12"/>
  <c r="P23" i="12"/>
  <c r="P24" i="12"/>
  <c r="P25" i="12"/>
  <c r="P21" i="12"/>
  <c r="P14" i="12"/>
  <c r="P15" i="12"/>
  <c r="P16" i="12"/>
  <c r="P17" i="12"/>
  <c r="P13" i="12"/>
  <c r="P6" i="12"/>
  <c r="P7" i="12"/>
  <c r="P8" i="12"/>
  <c r="P9" i="12"/>
  <c r="P5" i="12"/>
  <c r="E4" i="17" l="1"/>
  <c r="E5" i="17"/>
  <c r="K5" i="17"/>
  <c r="E6" i="17"/>
  <c r="K6" i="17"/>
  <c r="E7" i="17"/>
  <c r="K7" i="17"/>
  <c r="E8" i="17"/>
  <c r="K8" i="17"/>
  <c r="E9" i="17"/>
  <c r="K9" i="17"/>
  <c r="E10" i="17"/>
  <c r="J10" i="17"/>
  <c r="AE10" i="17"/>
  <c r="E11" i="17"/>
  <c r="E12" i="17"/>
  <c r="E13" i="17"/>
  <c r="K13" i="17"/>
  <c r="E14" i="17"/>
  <c r="K14" i="17"/>
  <c r="E15" i="17"/>
  <c r="K15" i="17"/>
  <c r="E16" i="17"/>
  <c r="K16" i="17"/>
  <c r="E17" i="17"/>
  <c r="K17" i="17"/>
  <c r="E18" i="17"/>
  <c r="J18" i="17"/>
  <c r="J25" i="17" s="1"/>
  <c r="AE18" i="17"/>
  <c r="E19" i="17"/>
  <c r="E20" i="17"/>
  <c r="K20" i="17"/>
  <c r="E21" i="17"/>
  <c r="K21" i="17"/>
  <c r="E22" i="17"/>
  <c r="K22" i="17"/>
  <c r="E23" i="17"/>
  <c r="K23" i="17"/>
  <c r="E24" i="17"/>
  <c r="K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105" i="17"/>
  <c r="E106" i="17"/>
  <c r="K106" i="17"/>
  <c r="E107" i="17"/>
  <c r="K107" i="17"/>
  <c r="E108" i="17"/>
  <c r="K108" i="17"/>
  <c r="E109" i="17"/>
  <c r="K109" i="17"/>
  <c r="E110" i="17"/>
  <c r="K110" i="17"/>
  <c r="E111" i="17"/>
  <c r="J111" i="17"/>
  <c r="AE111" i="17"/>
  <c r="E112" i="17"/>
  <c r="E113" i="17"/>
  <c r="E114" i="17"/>
  <c r="K114" i="17"/>
  <c r="E115" i="17"/>
  <c r="K115" i="17"/>
  <c r="E116" i="17"/>
  <c r="K116" i="17"/>
  <c r="E117" i="17"/>
  <c r="K117" i="17"/>
  <c r="E118" i="17"/>
  <c r="K118" i="17"/>
  <c r="E119" i="17"/>
  <c r="J119" i="17"/>
  <c r="AE119" i="17"/>
  <c r="E120" i="17"/>
  <c r="E121" i="17"/>
  <c r="K121" i="17"/>
  <c r="E122" i="17"/>
  <c r="K122" i="17"/>
  <c r="E123" i="17"/>
  <c r="K123" i="17"/>
  <c r="E124" i="17"/>
  <c r="K124" i="17"/>
  <c r="E125" i="17"/>
  <c r="K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4" i="16"/>
  <c r="E5" i="16"/>
  <c r="K5" i="16"/>
  <c r="E6" i="16"/>
  <c r="K6" i="16"/>
  <c r="E7" i="16"/>
  <c r="K7" i="16"/>
  <c r="E8" i="16"/>
  <c r="K8" i="16"/>
  <c r="E9" i="16"/>
  <c r="K9" i="16"/>
  <c r="E10" i="16"/>
  <c r="J10" i="16"/>
  <c r="AE10" i="16"/>
  <c r="E11" i="16"/>
  <c r="E12" i="16"/>
  <c r="E13" i="16"/>
  <c r="K13" i="16"/>
  <c r="E14" i="16"/>
  <c r="K14" i="16"/>
  <c r="E15" i="16"/>
  <c r="K15" i="16"/>
  <c r="E16" i="16"/>
  <c r="K16" i="16"/>
  <c r="E17" i="16"/>
  <c r="K17" i="16"/>
  <c r="E18" i="16"/>
  <c r="J18" i="16"/>
  <c r="AE18" i="16"/>
  <c r="E19" i="16"/>
  <c r="E20" i="16"/>
  <c r="K20" i="16"/>
  <c r="E21" i="16"/>
  <c r="K21" i="16"/>
  <c r="E22" i="16"/>
  <c r="K22" i="16"/>
  <c r="E23" i="16"/>
  <c r="K23" i="16"/>
  <c r="E24" i="16"/>
  <c r="K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105" i="16"/>
  <c r="E106" i="16"/>
  <c r="K106" i="16"/>
  <c r="E107" i="16"/>
  <c r="K107" i="16"/>
  <c r="E108" i="16"/>
  <c r="K108" i="16"/>
  <c r="E109" i="16"/>
  <c r="K109" i="16"/>
  <c r="E110" i="16"/>
  <c r="K110" i="16"/>
  <c r="E111" i="16"/>
  <c r="J111" i="16"/>
  <c r="AE111" i="16"/>
  <c r="E112" i="16"/>
  <c r="E113" i="16"/>
  <c r="E114" i="16"/>
  <c r="K114" i="16"/>
  <c r="E115" i="16"/>
  <c r="K115" i="16"/>
  <c r="E116" i="16"/>
  <c r="K116" i="16"/>
  <c r="E117" i="16"/>
  <c r="K117" i="16"/>
  <c r="E118" i="16"/>
  <c r="K118" i="16"/>
  <c r="E119" i="16"/>
  <c r="J119" i="16"/>
  <c r="AE119" i="16"/>
  <c r="E120" i="16"/>
  <c r="E121" i="16"/>
  <c r="K121" i="16"/>
  <c r="E122" i="16"/>
  <c r="K122" i="16"/>
  <c r="E123" i="16"/>
  <c r="K123" i="16"/>
  <c r="E124" i="16"/>
  <c r="K124" i="16"/>
  <c r="E125" i="16"/>
  <c r="K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J126" i="17" l="1"/>
  <c r="J126" i="16"/>
  <c r="J25" i="16"/>
  <c r="J114" i="13"/>
  <c r="J106" i="13"/>
  <c r="E191" i="13"/>
  <c r="E192" i="13"/>
  <c r="E193" i="13"/>
  <c r="E194" i="13"/>
  <c r="E195" i="13"/>
  <c r="E196" i="13"/>
  <c r="E197" i="13"/>
  <c r="E198" i="13"/>
  <c r="E199" i="13"/>
  <c r="E200" i="13"/>
  <c r="I101" i="12" l="1"/>
  <c r="J101" i="12"/>
  <c r="I102" i="12"/>
  <c r="J102" i="12"/>
  <c r="I103" i="12"/>
  <c r="J103" i="12"/>
  <c r="I104" i="12"/>
  <c r="J104" i="12"/>
  <c r="I105" i="12"/>
  <c r="J105" i="12"/>
  <c r="I106" i="12"/>
  <c r="J106" i="12"/>
  <c r="I107" i="12"/>
  <c r="J107" i="12"/>
  <c r="I108" i="12"/>
  <c r="J108" i="12"/>
  <c r="I109" i="12"/>
  <c r="J109" i="12"/>
  <c r="I110" i="12"/>
  <c r="J110" i="12"/>
  <c r="I111" i="12"/>
  <c r="J111" i="12"/>
  <c r="I112" i="12"/>
  <c r="J112" i="12"/>
  <c r="I113" i="12"/>
  <c r="J113" i="12"/>
  <c r="I114" i="12"/>
  <c r="J114" i="12"/>
  <c r="I115" i="12"/>
  <c r="J115" i="12"/>
  <c r="I116" i="12"/>
  <c r="J116" i="12"/>
  <c r="I117" i="12"/>
  <c r="J117" i="12"/>
  <c r="I118" i="12"/>
  <c r="J118" i="12"/>
  <c r="I119" i="12"/>
  <c r="J119" i="12"/>
  <c r="I120" i="12"/>
  <c r="J120" i="12"/>
  <c r="I121" i="12"/>
  <c r="J121" i="12"/>
  <c r="I122" i="12"/>
  <c r="J122" i="12"/>
  <c r="I123" i="12"/>
  <c r="J123" i="12"/>
  <c r="I175" i="12"/>
  <c r="J175" i="12"/>
  <c r="I176" i="12"/>
  <c r="J176" i="12"/>
  <c r="I177" i="12"/>
  <c r="J177" i="12"/>
  <c r="I178" i="12"/>
  <c r="J178" i="12"/>
  <c r="I179" i="12"/>
  <c r="J179" i="12"/>
  <c r="I180" i="12"/>
  <c r="J180" i="12"/>
  <c r="I181" i="12"/>
  <c r="J181" i="12"/>
  <c r="I182" i="12"/>
  <c r="J182" i="12"/>
  <c r="I183" i="12"/>
  <c r="J183" i="12"/>
  <c r="I184" i="12"/>
  <c r="J184" i="12"/>
  <c r="I185" i="12"/>
  <c r="J185" i="12"/>
  <c r="I186" i="12"/>
  <c r="J186" i="12"/>
  <c r="I187" i="12"/>
  <c r="J187" i="12"/>
  <c r="I188" i="12"/>
  <c r="J188" i="12"/>
  <c r="I189" i="12"/>
  <c r="J189" i="12"/>
  <c r="J100" i="12"/>
  <c r="I100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I27" i="12"/>
  <c r="J27" i="12"/>
  <c r="I79" i="12"/>
  <c r="J79" i="12"/>
  <c r="I80" i="12"/>
  <c r="J80" i="12"/>
  <c r="I81" i="12"/>
  <c r="J81" i="12"/>
  <c r="I82" i="12"/>
  <c r="J82" i="12"/>
  <c r="I83" i="12"/>
  <c r="J83" i="12"/>
  <c r="I84" i="12"/>
  <c r="J84" i="12"/>
  <c r="I85" i="12"/>
  <c r="J85" i="12"/>
  <c r="I86" i="12"/>
  <c r="J86" i="12"/>
  <c r="I87" i="12"/>
  <c r="J87" i="12"/>
  <c r="I88" i="12"/>
  <c r="J88" i="12"/>
  <c r="I89" i="12"/>
  <c r="J89" i="12"/>
  <c r="I90" i="12"/>
  <c r="J90" i="12"/>
  <c r="I91" i="12"/>
  <c r="J91" i="12"/>
  <c r="I92" i="12"/>
  <c r="J92" i="12"/>
  <c r="J4" i="12"/>
  <c r="I4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F95" i="12"/>
  <c r="G95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H4" i="12"/>
  <c r="K4" i="12" s="1"/>
  <c r="H5" i="12"/>
  <c r="K5" i="12" s="1"/>
  <c r="H6" i="12"/>
  <c r="K6" i="12" s="1"/>
  <c r="H7" i="12"/>
  <c r="K7" i="12" s="1"/>
  <c r="H8" i="12"/>
  <c r="K8" i="12" s="1"/>
  <c r="H9" i="12"/>
  <c r="H10" i="12"/>
  <c r="K10" i="12" s="1"/>
  <c r="H11" i="12"/>
  <c r="K11" i="12" s="1"/>
  <c r="H12" i="12"/>
  <c r="K12" i="12" s="1"/>
  <c r="H189" i="12"/>
  <c r="K189" i="12" s="1"/>
  <c r="H188" i="12"/>
  <c r="K188" i="12" s="1"/>
  <c r="H187" i="12"/>
  <c r="K187" i="12" s="1"/>
  <c r="H186" i="12"/>
  <c r="K186" i="12" s="1"/>
  <c r="H185" i="12"/>
  <c r="K185" i="12" s="1"/>
  <c r="H184" i="12"/>
  <c r="K184" i="12" s="1"/>
  <c r="H183" i="12"/>
  <c r="K183" i="12" s="1"/>
  <c r="H182" i="12"/>
  <c r="K182" i="12" s="1"/>
  <c r="H181" i="12"/>
  <c r="K181" i="12" s="1"/>
  <c r="H180" i="12"/>
  <c r="K180" i="12" s="1"/>
  <c r="H179" i="12"/>
  <c r="K179" i="12" s="1"/>
  <c r="H178" i="12"/>
  <c r="K178" i="12" s="1"/>
  <c r="H177" i="12"/>
  <c r="K177" i="12" s="1"/>
  <c r="H176" i="12"/>
  <c r="K176" i="12" s="1"/>
  <c r="H175" i="12"/>
  <c r="K175" i="12" s="1"/>
  <c r="H123" i="12"/>
  <c r="H122" i="12"/>
  <c r="K122" i="12" s="1"/>
  <c r="H121" i="12"/>
  <c r="K121" i="12" s="1"/>
  <c r="H120" i="12"/>
  <c r="K120" i="12" s="1"/>
  <c r="H119" i="12"/>
  <c r="K119" i="12" s="1"/>
  <c r="H118" i="12"/>
  <c r="H117" i="12"/>
  <c r="H116" i="12"/>
  <c r="H115" i="12"/>
  <c r="K115" i="12" s="1"/>
  <c r="H114" i="12"/>
  <c r="K114" i="12" s="1"/>
  <c r="H113" i="12"/>
  <c r="K113" i="12" s="1"/>
  <c r="H112" i="12"/>
  <c r="H111" i="12"/>
  <c r="K111" i="12" s="1"/>
  <c r="H110" i="12"/>
  <c r="H109" i="12"/>
  <c r="H108" i="12"/>
  <c r="K108" i="12" s="1"/>
  <c r="H107" i="12"/>
  <c r="K107" i="12" s="1"/>
  <c r="H106" i="12"/>
  <c r="K106" i="12" s="1"/>
  <c r="H105" i="12"/>
  <c r="K105" i="12" s="1"/>
  <c r="H104" i="12"/>
  <c r="K104" i="12" s="1"/>
  <c r="H103" i="12"/>
  <c r="K103" i="12" s="1"/>
  <c r="H102" i="12"/>
  <c r="K102" i="12" s="1"/>
  <c r="H101" i="12"/>
  <c r="H100" i="12"/>
  <c r="G191" i="12"/>
  <c r="F191" i="12"/>
  <c r="H13" i="12"/>
  <c r="K13" i="12" s="1"/>
  <c r="H14" i="12"/>
  <c r="K14" i="12" s="1"/>
  <c r="H15" i="12"/>
  <c r="K15" i="12" s="1"/>
  <c r="H16" i="12"/>
  <c r="K16" i="12" s="1"/>
  <c r="H17" i="12"/>
  <c r="H18" i="12"/>
  <c r="K18" i="12" s="1"/>
  <c r="H19" i="12"/>
  <c r="K19" i="12" s="1"/>
  <c r="H20" i="12"/>
  <c r="K20" i="12" s="1"/>
  <c r="H21" i="12"/>
  <c r="H22" i="12"/>
  <c r="H23" i="12"/>
  <c r="K23" i="12" s="1"/>
  <c r="H24" i="12"/>
  <c r="K24" i="12" s="1"/>
  <c r="H25" i="12"/>
  <c r="K25" i="12" s="1"/>
  <c r="H26" i="12"/>
  <c r="H27" i="12"/>
  <c r="K27" i="12" s="1"/>
  <c r="H79" i="12"/>
  <c r="K79" i="12" s="1"/>
  <c r="H80" i="12"/>
  <c r="K80" i="12" s="1"/>
  <c r="H81" i="12"/>
  <c r="K81" i="12" s="1"/>
  <c r="H82" i="12"/>
  <c r="K82" i="12" s="1"/>
  <c r="H83" i="12"/>
  <c r="K83" i="12" s="1"/>
  <c r="H84" i="12"/>
  <c r="K84" i="12" s="1"/>
  <c r="H85" i="12"/>
  <c r="K85" i="12" s="1"/>
  <c r="H86" i="12"/>
  <c r="K86" i="12" s="1"/>
  <c r="H87" i="12"/>
  <c r="K87" i="12" s="1"/>
  <c r="H88" i="12"/>
  <c r="K88" i="12" s="1"/>
  <c r="H89" i="12"/>
  <c r="K89" i="12" s="1"/>
  <c r="H90" i="12"/>
  <c r="K90" i="12" s="1"/>
  <c r="H91" i="12"/>
  <c r="K91" i="12" s="1"/>
  <c r="H92" i="12"/>
  <c r="K92" i="12" s="1"/>
  <c r="Q106" i="12"/>
  <c r="E181" i="13"/>
  <c r="E182" i="13"/>
  <c r="E183" i="13"/>
  <c r="E184" i="13"/>
  <c r="E185" i="13"/>
  <c r="E186" i="13"/>
  <c r="E187" i="13"/>
  <c r="E188" i="13"/>
  <c r="E189" i="13"/>
  <c r="E190" i="13"/>
  <c r="J13" i="13"/>
  <c r="J5" i="13"/>
  <c r="B3" i="15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51" i="13"/>
  <c r="E152" i="13"/>
  <c r="E153" i="13"/>
  <c r="E154" i="13"/>
  <c r="E155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05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52" i="13"/>
  <c r="E53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4" i="13"/>
  <c r="K14" i="7"/>
  <c r="J14" i="7"/>
  <c r="K5" i="7"/>
  <c r="K6" i="7"/>
  <c r="K7" i="7"/>
  <c r="K8" i="7"/>
  <c r="K9" i="7"/>
  <c r="K10" i="7"/>
  <c r="K11" i="7"/>
  <c r="K12" i="7"/>
  <c r="K13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4" i="7"/>
  <c r="J5" i="7"/>
  <c r="J6" i="7"/>
  <c r="J7" i="7"/>
  <c r="J8" i="7"/>
  <c r="J9" i="7"/>
  <c r="J10" i="7"/>
  <c r="J11" i="7"/>
  <c r="J12" i="7"/>
  <c r="J13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4" i="7"/>
  <c r="P31" i="7"/>
  <c r="P32" i="7"/>
  <c r="P33" i="7"/>
  <c r="P34" i="7"/>
  <c r="P5" i="7"/>
  <c r="H31" i="7"/>
  <c r="H32" i="7"/>
  <c r="H33" i="7"/>
  <c r="H34" i="7"/>
  <c r="H5" i="7"/>
  <c r="D5" i="7"/>
  <c r="D31" i="7"/>
  <c r="D32" i="7"/>
  <c r="D33" i="7"/>
  <c r="D34" i="7"/>
  <c r="K123" i="12" l="1"/>
  <c r="K118" i="12"/>
  <c r="K117" i="12"/>
  <c r="K116" i="12"/>
  <c r="K112" i="12"/>
  <c r="K110" i="12"/>
  <c r="K109" i="12"/>
  <c r="K101" i="12"/>
  <c r="E191" i="12"/>
  <c r="K100" i="12"/>
  <c r="K26" i="12"/>
  <c r="K22" i="12"/>
  <c r="K21" i="12"/>
  <c r="K17" i="12"/>
  <c r="K9" i="12"/>
  <c r="E95" i="12"/>
  <c r="J20" i="13"/>
  <c r="J121" i="13"/>
  <c r="L34" i="7"/>
  <c r="Q101" i="12"/>
  <c r="Q105" i="12"/>
  <c r="Q104" i="12"/>
  <c r="Q103" i="12"/>
  <c r="Q102" i="12"/>
  <c r="Q110" i="12"/>
  <c r="Q119" i="12"/>
  <c r="Q118" i="12"/>
  <c r="H191" i="12"/>
  <c r="Q9" i="12"/>
  <c r="Q7" i="12"/>
  <c r="Q17" i="12"/>
  <c r="Q15" i="12"/>
  <c r="Q13" i="12"/>
  <c r="Q25" i="12"/>
  <c r="Q23" i="12"/>
  <c r="Q113" i="12"/>
  <c r="Q112" i="12"/>
  <c r="Q111" i="12"/>
  <c r="Q109" i="12"/>
  <c r="Q122" i="12"/>
  <c r="Q121" i="12"/>
  <c r="Q120" i="12"/>
  <c r="Q8" i="12"/>
  <c r="Q6" i="12"/>
  <c r="Q5" i="12"/>
  <c r="Q16" i="12"/>
  <c r="Q14" i="12"/>
  <c r="Q24" i="12"/>
  <c r="Q22" i="12"/>
  <c r="Q21" i="12"/>
  <c r="I191" i="12"/>
  <c r="J191" i="12"/>
  <c r="J95" i="12"/>
  <c r="I95" i="12"/>
  <c r="H95" i="12"/>
  <c r="K35" i="7"/>
  <c r="J35" i="7"/>
  <c r="L33" i="7"/>
  <c r="Q33" i="7" s="1"/>
  <c r="R33" i="7" s="1"/>
  <c r="L32" i="7"/>
  <c r="Q32" i="7" s="1"/>
  <c r="R32" i="7" s="1"/>
  <c r="L31" i="7"/>
  <c r="Q31" i="7" s="1"/>
  <c r="R31" i="7" s="1"/>
  <c r="Q34" i="7"/>
  <c r="R34" i="7" s="1"/>
  <c r="L5" i="7"/>
  <c r="Q5" i="7" s="1"/>
  <c r="R5" i="7" s="1"/>
  <c r="K191" i="12" l="1"/>
  <c r="K95" i="12"/>
  <c r="L9" i="7"/>
  <c r="L10" i="7"/>
  <c r="L11" i="7"/>
  <c r="F35" i="7"/>
  <c r="B35" i="7"/>
  <c r="L22" i="7" l="1"/>
  <c r="L14" i="7"/>
  <c r="L12" i="7"/>
  <c r="L30" i="7"/>
  <c r="L26" i="7"/>
  <c r="L24" i="7"/>
  <c r="L23" i="7"/>
  <c r="L18" i="7"/>
  <c r="L28" i="7"/>
  <c r="L27" i="7"/>
  <c r="L20" i="7"/>
  <c r="L19" i="7"/>
  <c r="L16" i="7"/>
  <c r="L15" i="7"/>
  <c r="L7" i="7"/>
  <c r="L6" i="7"/>
  <c r="L29" i="7"/>
  <c r="L25" i="7"/>
  <c r="L21" i="7"/>
  <c r="L17" i="7"/>
  <c r="L13" i="7"/>
  <c r="L8" i="7"/>
  <c r="G35" i="7" l="1"/>
  <c r="H35" i="7" s="1"/>
  <c r="C35" i="7" l="1"/>
  <c r="D35" i="7" s="1"/>
  <c r="P30" i="7"/>
  <c r="Q30" i="7" s="1"/>
  <c r="R30" i="7" l="1"/>
  <c r="H30" i="7"/>
  <c r="D30" i="7"/>
  <c r="P29" i="7"/>
  <c r="Q29" i="7" s="1"/>
  <c r="H29" i="7"/>
  <c r="D29" i="7"/>
  <c r="P28" i="7"/>
  <c r="Q28" i="7" s="1"/>
  <c r="H28" i="7"/>
  <c r="D28" i="7"/>
  <c r="P27" i="7"/>
  <c r="Q27" i="7" s="1"/>
  <c r="H27" i="7"/>
  <c r="D27" i="7"/>
  <c r="H26" i="7"/>
  <c r="D26" i="7"/>
  <c r="P25" i="7"/>
  <c r="Q25" i="7" s="1"/>
  <c r="H25" i="7"/>
  <c r="D25" i="7"/>
  <c r="P24" i="7"/>
  <c r="Q24" i="7" s="1"/>
  <c r="H24" i="7"/>
  <c r="D24" i="7"/>
  <c r="P23" i="7"/>
  <c r="Q23" i="7" s="1"/>
  <c r="H23" i="7"/>
  <c r="D23" i="7"/>
  <c r="P22" i="7"/>
  <c r="Q22" i="7" s="1"/>
  <c r="H22" i="7"/>
  <c r="D22" i="7"/>
  <c r="P21" i="7"/>
  <c r="Q21" i="7" s="1"/>
  <c r="H21" i="7"/>
  <c r="D21" i="7"/>
  <c r="H20" i="7"/>
  <c r="D20" i="7"/>
  <c r="P19" i="7"/>
  <c r="Q19" i="7" s="1"/>
  <c r="H19" i="7"/>
  <c r="D19" i="7"/>
  <c r="P18" i="7"/>
  <c r="Q18" i="7" s="1"/>
  <c r="H18" i="7"/>
  <c r="D18" i="7"/>
  <c r="P17" i="7"/>
  <c r="Q17" i="7" s="1"/>
  <c r="H17" i="7"/>
  <c r="D17" i="7"/>
  <c r="P16" i="7"/>
  <c r="Q16" i="7" s="1"/>
  <c r="H16" i="7"/>
  <c r="D16" i="7"/>
  <c r="P15" i="7"/>
  <c r="Q15" i="7" s="1"/>
  <c r="H15" i="7"/>
  <c r="D15" i="7"/>
  <c r="P14" i="7"/>
  <c r="Q14" i="7" s="1"/>
  <c r="H14" i="7"/>
  <c r="D14" i="7"/>
  <c r="P13" i="7"/>
  <c r="Q13" i="7" s="1"/>
  <c r="H13" i="7"/>
  <c r="D13" i="7"/>
  <c r="P12" i="7"/>
  <c r="Q12" i="7" s="1"/>
  <c r="H12" i="7"/>
  <c r="D12" i="7"/>
  <c r="P11" i="7"/>
  <c r="H11" i="7"/>
  <c r="D11" i="7"/>
  <c r="P10" i="7"/>
  <c r="H10" i="7"/>
  <c r="D10" i="7"/>
  <c r="P9" i="7"/>
  <c r="H9" i="7"/>
  <c r="D9" i="7"/>
  <c r="P8" i="7"/>
  <c r="H8" i="7"/>
  <c r="D8" i="7"/>
  <c r="P7" i="7"/>
  <c r="R28" i="7" l="1"/>
  <c r="R29" i="7"/>
  <c r="R18" i="7"/>
  <c r="Q9" i="7"/>
  <c r="R9" i="7" s="1"/>
  <c r="R12" i="7"/>
  <c r="R14" i="7"/>
  <c r="R16" i="7"/>
  <c r="R25" i="7"/>
  <c r="R23" i="7"/>
  <c r="R21" i="7"/>
  <c r="Q10" i="7"/>
  <c r="R10" i="7" s="1"/>
  <c r="Q11" i="7"/>
  <c r="R11" i="7" s="1"/>
  <c r="R13" i="7"/>
  <c r="R15" i="7"/>
  <c r="R17" i="7"/>
  <c r="R19" i="7"/>
  <c r="R22" i="7"/>
  <c r="R24" i="7"/>
  <c r="R27" i="7"/>
  <c r="Q8" i="7"/>
  <c r="R8" i="7" s="1"/>
  <c r="H7" i="7"/>
  <c r="D7" i="7"/>
  <c r="P6" i="7"/>
  <c r="H6" i="7"/>
  <c r="D6" i="7"/>
  <c r="P4" i="7"/>
  <c r="H4" i="7"/>
  <c r="D4" i="7"/>
  <c r="Q7" i="7" l="1"/>
  <c r="R7" i="7" s="1"/>
  <c r="L4" i="7"/>
  <c r="Q4" i="7" s="1"/>
  <c r="R4" i="7" s="1"/>
  <c r="L35" i="7"/>
  <c r="Q6" i="7"/>
  <c r="R6" i="7" s="1"/>
  <c r="N35" i="7" l="1"/>
  <c r="P20" i="7"/>
  <c r="Q20" i="7" l="1"/>
  <c r="R20" i="7" s="1"/>
  <c r="P26" i="7"/>
  <c r="Q26" i="7" s="1"/>
  <c r="O35" i="7"/>
  <c r="P35" i="7" l="1"/>
  <c r="Q35" i="7" s="1"/>
  <c r="R35" i="7" s="1"/>
  <c r="R26" i="7"/>
</calcChain>
</file>

<file path=xl/sharedStrings.xml><?xml version="1.0" encoding="utf-8"?>
<sst xmlns="http://schemas.openxmlformats.org/spreadsheetml/2006/main" count="582" uniqueCount="189">
  <si>
    <t>Suma de defectos</t>
  </si>
  <si>
    <t>PPM'S</t>
  </si>
  <si>
    <t xml:space="preserve">Fecha </t>
  </si>
  <si>
    <t>Total de defectos por dia</t>
  </si>
  <si>
    <t xml:space="preserve">Total de muesta </t>
  </si>
  <si>
    <t xml:space="preserve">DEFECTO   </t>
  </si>
  <si>
    <t>CANTIDAD</t>
  </si>
  <si>
    <t xml:space="preserve"> </t>
  </si>
  <si>
    <t>TOTAL</t>
  </si>
  <si>
    <t>1ER TURNO</t>
  </si>
  <si>
    <t>2DO TURNO</t>
  </si>
  <si>
    <t>Mesa</t>
  </si>
  <si>
    <t>Total de defectos por mesa</t>
  </si>
  <si>
    <t>Total</t>
  </si>
  <si>
    <t>MESA</t>
  </si>
  <si>
    <t>CANTIDAD DEFECTOS</t>
  </si>
  <si>
    <t xml:space="preserve">DEFECTOS PRODUCCION </t>
  </si>
  <si>
    <t>%</t>
  </si>
  <si>
    <t>PPM'S Calidad</t>
  </si>
  <si>
    <t>Defectos 1er Turno</t>
  </si>
  <si>
    <t>Defectos 2do Turno</t>
  </si>
  <si>
    <t>Total de muestra  por dia</t>
  </si>
  <si>
    <t>CERTIFICACION TOTALES</t>
  </si>
  <si>
    <t>1er Turno</t>
  </si>
  <si>
    <t>2do Turno</t>
  </si>
  <si>
    <t xml:space="preserve">DIARIO </t>
  </si>
  <si>
    <t>MENSUAL</t>
  </si>
  <si>
    <t>Pearl Leather México</t>
  </si>
  <si>
    <t>Reporte de inspeción final</t>
  </si>
  <si>
    <t>Periodo:</t>
  </si>
  <si>
    <t>Turno</t>
  </si>
  <si>
    <t>Muestra</t>
  </si>
  <si>
    <t>Defectos</t>
  </si>
  <si>
    <t>PPM's</t>
  </si>
  <si>
    <t>*  Reparado</t>
  </si>
  <si>
    <t>Defecto</t>
  </si>
  <si>
    <t>Cant</t>
  </si>
  <si>
    <t>LOTE</t>
  </si>
  <si>
    <t>MUESTRA</t>
  </si>
  <si>
    <t>PPMS</t>
  </si>
  <si>
    <t>Muestra 1er Turno</t>
  </si>
  <si>
    <t>Muestra 2do Turno</t>
  </si>
  <si>
    <t>Muestra Total</t>
  </si>
  <si>
    <t>PPMS 1er Turno</t>
  </si>
  <si>
    <t>PPMS 2do Turno</t>
  </si>
  <si>
    <t>PPMS Total</t>
  </si>
  <si>
    <t>PPM'S Produccion</t>
  </si>
  <si>
    <t>DEFECTOS</t>
  </si>
  <si>
    <t>Mesa 90 = Perforadora</t>
  </si>
  <si>
    <t>Mesa 91 = Quilty</t>
  </si>
  <si>
    <t xml:space="preserve">ARRUGAS DE CUELLO                                 </t>
  </si>
  <si>
    <t xml:space="preserve">BLANCUZCA                                         </t>
  </si>
  <si>
    <t xml:space="preserve">BRILLO                                            </t>
  </si>
  <si>
    <t xml:space="preserve">CICATRIZ ABIERTA                                  </t>
  </si>
  <si>
    <t xml:space="preserve">CICATRIZ CERRADA                                  </t>
  </si>
  <si>
    <t xml:space="preserve">CANDADO FLOJO                                     </t>
  </si>
  <si>
    <t xml:space="preserve">CRACK                                             </t>
  </si>
  <si>
    <t xml:space="preserve">COSTURA MAL ALINEADA                              </t>
  </si>
  <si>
    <t xml:space="preserve">CONTAMINACION                                     </t>
  </si>
  <si>
    <t xml:space="preserve">DOBLEZ                                            </t>
  </si>
  <si>
    <t xml:space="preserve">DEFECTO DE PINTURA                                </t>
  </si>
  <si>
    <t xml:space="preserve">DISTORCIONADA                                     </t>
  </si>
  <si>
    <t xml:space="preserve">FUERA DE TONO                                     </t>
  </si>
  <si>
    <t xml:space="preserve">GARRAPATAS                                        </t>
  </si>
  <si>
    <t xml:space="preserve">LISA                                              </t>
  </si>
  <si>
    <t xml:space="preserve">MAL ACABADO                                       </t>
  </si>
  <si>
    <t xml:space="preserve">MAL CORTE                                         </t>
  </si>
  <si>
    <t xml:space="preserve">MULTICICATRIZ                                     </t>
  </si>
  <si>
    <t xml:space="preserve">MUESCAS PEGADAS                                   </t>
  </si>
  <si>
    <t xml:space="preserve">MALA REPARACION                                   </t>
  </si>
  <si>
    <t xml:space="preserve">MEZCLADAS                                         </t>
  </si>
  <si>
    <t xml:space="preserve">NUMEROS                                           </t>
  </si>
  <si>
    <t xml:space="preserve">POROS                                             </t>
  </si>
  <si>
    <t xml:space="preserve">SUCIAS                                            </t>
  </si>
  <si>
    <t xml:space="preserve">SARNA                                             </t>
  </si>
  <si>
    <t xml:space="preserve">VACIO                                             </t>
  </si>
  <si>
    <t xml:space="preserve">SKIP FUERA DE ESPECIFICACION                      </t>
  </si>
  <si>
    <t xml:space="preserve">FIBRA                                             </t>
  </si>
  <si>
    <t xml:space="preserve">CORTE DE CARNICERO                                </t>
  </si>
  <si>
    <t>MAL CORTE</t>
  </si>
  <si>
    <t>CICATRIZ ABIERTA</t>
  </si>
  <si>
    <t>CANDADO FLOJO</t>
  </si>
  <si>
    <t>MUESCAS PEGADAS</t>
  </si>
  <si>
    <t>CRACK</t>
  </si>
  <si>
    <t>SUCIAS</t>
  </si>
  <si>
    <t>DEFECTO DE PINTURA</t>
  </si>
  <si>
    <t>BRILLO</t>
  </si>
  <si>
    <t xml:space="preserve">CALLO                                             </t>
  </si>
  <si>
    <t xml:space="preserve">CHICA                                             </t>
  </si>
  <si>
    <t xml:space="preserve">CON SELLO                                         </t>
  </si>
  <si>
    <t xml:space="preserve">PAQUETE SIN PERFORAR                              </t>
  </si>
  <si>
    <t xml:space="preserve">PIEL EQUIVOCADA                                   </t>
  </si>
  <si>
    <t xml:space="preserve">DISTANCIA DE COSTURA A PERFO                      </t>
  </si>
  <si>
    <t xml:space="preserve">FIERRO                                            </t>
  </si>
  <si>
    <t xml:space="preserve">PAQUETES FALTANTES                                </t>
  </si>
  <si>
    <t xml:space="preserve">PERFORADA                                         </t>
  </si>
  <si>
    <t xml:space="preserve">PUNTO NEGRO                                       </t>
  </si>
  <si>
    <t xml:space="preserve">SIN AYUDA VISUAL                                  </t>
  </si>
  <si>
    <t xml:space="preserve">ACARTONADA                                        </t>
  </si>
  <si>
    <t xml:space="preserve">DIRECCION DE LAMINADO                             </t>
  </si>
  <si>
    <t xml:space="preserve">PUNTADA GRANDE                                    </t>
  </si>
  <si>
    <t xml:space="preserve">TAPE                                              </t>
  </si>
  <si>
    <t xml:space="preserve">MAL REBAJADO (BUMP)                               </t>
  </si>
  <si>
    <t xml:space="preserve">MULLER INVERTIDO                                  </t>
  </si>
  <si>
    <t xml:space="preserve">PAQUETE SIN SELLAR                                </t>
  </si>
  <si>
    <t xml:space="preserve">PERFORADO OBSTRUIDO                               </t>
  </si>
  <si>
    <t xml:space="preserve">SOBRANTES                                         </t>
  </si>
  <si>
    <t xml:space="preserve">TENSION FLOJA                                     </t>
  </si>
  <si>
    <t xml:space="preserve">SIN PERFORAR                                      </t>
  </si>
  <si>
    <t xml:space="preserve">ESPONJA CORTA                                     </t>
  </si>
  <si>
    <t xml:space="preserve">FLANK                                             </t>
  </si>
  <si>
    <t xml:space="preserve">GOLPE                                             </t>
  </si>
  <si>
    <t xml:space="preserve">OKI LARGO                                         </t>
  </si>
  <si>
    <t xml:space="preserve">PIEL QUEBRADA                                     </t>
  </si>
  <si>
    <t xml:space="preserve">PIEZA CON PLUMA                                   </t>
  </si>
  <si>
    <t xml:space="preserve">PIEZA SIN LAMINAR                                 </t>
  </si>
  <si>
    <t xml:space="preserve">QUEMADA                                           </t>
  </si>
  <si>
    <t xml:space="preserve">DELGADA                                           </t>
  </si>
  <si>
    <t xml:space="preserve">DIFERENTE GRABADO                                 </t>
  </si>
  <si>
    <t xml:space="preserve">ESTRIAS                                           </t>
  </si>
  <si>
    <t xml:space="preserve">PAQUETE MEZCLADO                                  </t>
  </si>
  <si>
    <t xml:space="preserve">PAQUETE SIN LAMINAR                               </t>
  </si>
  <si>
    <t xml:space="preserve">DISTANCIA DE SKIP                                 </t>
  </si>
  <si>
    <t xml:space="preserve">ETIQUETA SIN SELLO                                </t>
  </si>
  <si>
    <t xml:space="preserve">HOJA SIN IDENTIFICAR                              </t>
  </si>
  <si>
    <t xml:space="preserve">VARIACION DIAMETRO PERFORADO                      </t>
  </si>
  <si>
    <t xml:space="preserve">FUERA DE ESPECIFICACION                           </t>
  </si>
  <si>
    <t xml:space="preserve">GALLETA                                           </t>
  </si>
  <si>
    <t xml:space="preserve">BURBUJA                                           </t>
  </si>
  <si>
    <t xml:space="preserve">GIS                                               </t>
  </si>
  <si>
    <t xml:space="preserve">GRUESA                                            </t>
  </si>
  <si>
    <t xml:space="preserve">MAL PERFORADO                                     </t>
  </si>
  <si>
    <t xml:space="preserve">VENA                                              </t>
  </si>
  <si>
    <t xml:space="preserve">DISTANCIA DE CANDADO                              </t>
  </si>
  <si>
    <t xml:space="preserve">HILO LARGO                                        </t>
  </si>
  <si>
    <t xml:space="preserve">LAMINADO CHICO                                    </t>
  </si>
  <si>
    <t xml:space="preserve">CORTADA                                           </t>
  </si>
  <si>
    <t xml:space="preserve">DISEÑO FUERA DE ESPECIFICACION                    </t>
  </si>
  <si>
    <t xml:space="preserve">ETIQUETAS PEGADAS                                 </t>
  </si>
  <si>
    <t xml:space="preserve">FALTA DE PUNTADA                                  </t>
  </si>
  <si>
    <t xml:space="preserve">PLIEGUES                                          </t>
  </si>
  <si>
    <t xml:space="preserve">MAL ALINEADO                                      </t>
  </si>
  <si>
    <t xml:space="preserve">GRANDE                                            </t>
  </si>
  <si>
    <t xml:space="preserve">HILO REVENTADO                                    </t>
  </si>
  <si>
    <t xml:space="preserve">PIEZA SIN GOMA                                    </t>
  </si>
  <si>
    <t xml:space="preserve">PITS                                              </t>
  </si>
  <si>
    <t xml:space="preserve">PUNTADA CHICA                                     </t>
  </si>
  <si>
    <t xml:space="preserve">RASGUNO                                           </t>
  </si>
  <si>
    <t xml:space="preserve">SIN SELLAR                                        </t>
  </si>
  <si>
    <t xml:space="preserve">ESCALONADA                                        </t>
  </si>
  <si>
    <t xml:space="preserve">GOMA                                              </t>
  </si>
  <si>
    <t xml:space="preserve">FALTANTES                                         </t>
  </si>
  <si>
    <t xml:space="preserve">OBSTRUIDA                                         </t>
  </si>
  <si>
    <t xml:space="preserve">PUNTADA DOBLE                                     </t>
  </si>
  <si>
    <t xml:space="preserve">RACETRACK FUERA                                   </t>
  </si>
  <si>
    <t xml:space="preserve">LAMINADO DESPEGADO                                </t>
  </si>
  <si>
    <t xml:space="preserve">LOOSENESS                                         </t>
  </si>
  <si>
    <t xml:space="preserve">PIEZA SIN LISTING                                 </t>
  </si>
  <si>
    <t>GARRAPATAS</t>
  </si>
  <si>
    <t>__________________________________________________________________________________</t>
  </si>
  <si>
    <t>TOTAL PRENSA 1</t>
  </si>
  <si>
    <t>TOTAL PRENSA 2</t>
  </si>
  <si>
    <t>TOTAL PRENSA 3</t>
  </si>
  <si>
    <t>TOTAL PRENSA 4</t>
  </si>
  <si>
    <t>TOTAL PRENSA 5</t>
  </si>
  <si>
    <t>TOTAL PRENSA 6</t>
  </si>
  <si>
    <t>TOTAL 1ER TURNO</t>
  </si>
  <si>
    <t>TOTAL 2DO TURNO</t>
  </si>
  <si>
    <t>GRAN TOTAL</t>
  </si>
  <si>
    <t>CORTE DE CARNICERO</t>
  </si>
  <si>
    <t>CICATRIZ CERRADA</t>
  </si>
  <si>
    <t>DOBLEZ</t>
  </si>
  <si>
    <t>MEZCLADAS</t>
  </si>
  <si>
    <t>VACIO</t>
  </si>
  <si>
    <t>MULTICICATRIZ</t>
  </si>
  <si>
    <t>ARRUGAS DE CUELLO</t>
  </si>
  <si>
    <t>FIBRA</t>
  </si>
  <si>
    <t>LISA</t>
  </si>
  <si>
    <t>SKIP FUERA DE ESPECIFICACION</t>
  </si>
  <si>
    <t>NUMEROS</t>
  </si>
  <si>
    <t>POROS</t>
  </si>
  <si>
    <t>BLANCUZCA</t>
  </si>
  <si>
    <t>CONTAMINACION</t>
  </si>
  <si>
    <t>SARNA</t>
  </si>
  <si>
    <t>COSTURA MAL ALINEADA</t>
  </si>
  <si>
    <t>MALA REPARACION</t>
  </si>
  <si>
    <t>DISTORCIONADA</t>
  </si>
  <si>
    <t>FUERA DE TONO</t>
  </si>
  <si>
    <t>MAL ACABADO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</si>
</sst>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;@"/>
    <numFmt numFmtId="165" formatCode="0.0%"/>
    <numFmt numFmtId="166" formatCode="_(* #,##0_);_(* \(#,##0\);_(* &quot;-&quot;??_);_(@_)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4" tint="-0.249977111117893"/>
      <name val="PostNet"/>
    </font>
    <font>
      <i/>
      <u/>
      <sz val="12"/>
      <color theme="4" tint="-0.249977111117893"/>
      <name val="PostNet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22" fillId="0" borderId="0" applyFont="0" applyFill="0" applyBorder="0" applyAlignment="0" applyProtection="0"/>
  </cellStyleXfs>
  <cellXfs count="230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15" xfId="0" applyFont="1" applyFill="1" applyBorder="1"/>
    <xf numFmtId="0" fontId="8" fillId="2" borderId="1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2" borderId="1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8" fillId="2" borderId="0" xfId="0" applyFont="1" applyFill="1" applyBorder="1"/>
    <xf numFmtId="0" fontId="8" fillId="2" borderId="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16" fontId="0" fillId="0" borderId="0" xfId="0" applyNumberFormat="1"/>
    <xf numFmtId="0" fontId="0" fillId="0" borderId="0" xfId="0" applyAlignment="1">
      <alignment horizontal="left"/>
    </xf>
    <xf numFmtId="16" fontId="5" fillId="3" borderId="0" xfId="0" applyNumberFormat="1" applyFont="1" applyFill="1" applyAlignment="1">
      <alignment horizontal="left" vertical="top"/>
    </xf>
    <xf numFmtId="0" fontId="0" fillId="0" borderId="0" xfId="0"/>
    <xf numFmtId="1" fontId="0" fillId="0" borderId="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NumberFormat="1"/>
    <xf numFmtId="0" fontId="11" fillId="0" borderId="0" xfId="0" applyNumberFormat="1" applyFont="1"/>
    <xf numFmtId="0" fontId="1" fillId="2" borderId="5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/>
    <xf numFmtId="165" fontId="0" fillId="0" borderId="13" xfId="0" applyNumberFormat="1" applyBorder="1"/>
    <xf numFmtId="165" fontId="0" fillId="0" borderId="14" xfId="0" applyNumberFormat="1" applyBorder="1"/>
    <xf numFmtId="165" fontId="2" fillId="0" borderId="20" xfId="0" applyNumberFormat="1" applyFont="1" applyBorder="1"/>
    <xf numFmtId="0" fontId="13" fillId="0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NumberFormat="1" applyFont="1"/>
    <xf numFmtId="0" fontId="0" fillId="4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7" borderId="29" xfId="0" applyFont="1" applyFill="1" applyBorder="1" applyAlignment="1">
      <alignment horizontal="center" vertical="center" wrapText="1"/>
    </xf>
    <xf numFmtId="0" fontId="0" fillId="7" borderId="30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indent="1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16" fontId="14" fillId="3" borderId="0" xfId="0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0" fontId="15" fillId="2" borderId="5" xfId="0" applyFont="1" applyFill="1" applyBorder="1" applyAlignment="1">
      <alignment horizontal="center" vertical="center"/>
    </xf>
    <xf numFmtId="0" fontId="16" fillId="0" borderId="0" xfId="0" applyFont="1"/>
    <xf numFmtId="0" fontId="0" fillId="4" borderId="22" xfId="0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center" vertical="top"/>
    </xf>
    <xf numFmtId="0" fontId="1" fillId="0" borderId="28" xfId="0" applyNumberFormat="1" applyFont="1" applyBorder="1" applyAlignment="1">
      <alignment horizontal="center" vertical="top"/>
    </xf>
    <xf numFmtId="164" fontId="3" fillId="0" borderId="33" xfId="0" applyNumberFormat="1" applyFont="1" applyBorder="1" applyAlignment="1">
      <alignment horizontal="center" vertical="center"/>
    </xf>
    <xf numFmtId="0" fontId="0" fillId="4" borderId="23" xfId="0" applyFont="1" applyFill="1" applyBorder="1" applyAlignment="1">
      <alignment horizontal="center" vertical="center" wrapText="1"/>
    </xf>
    <xf numFmtId="0" fontId="0" fillId="4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5" borderId="23" xfId="0" applyFont="1" applyFill="1" applyBorder="1" applyAlignment="1">
      <alignment horizontal="center" vertical="center" wrapText="1"/>
    </xf>
    <xf numFmtId="0" fontId="0" fillId="5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0" fontId="0" fillId="6" borderId="8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1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4" fillId="2" borderId="40" xfId="0" applyFont="1" applyFill="1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0" fontId="4" fillId="2" borderId="12" xfId="0" applyFont="1" applyFill="1" applyBorder="1" applyAlignment="1">
      <alignment horizontal="center"/>
    </xf>
    <xf numFmtId="0" fontId="0" fillId="0" borderId="0" xfId="0"/>
    <xf numFmtId="0" fontId="1" fillId="2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0" fontId="1" fillId="2" borderId="1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0" fillId="2" borderId="3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0" xfId="0"/>
    <xf numFmtId="0" fontId="0" fillId="2" borderId="31" xfId="0" applyFill="1" applyBorder="1" applyAlignment="1">
      <alignment horizontal="center"/>
    </xf>
    <xf numFmtId="1" fontId="7" fillId="2" borderId="10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1" fontId="0" fillId="2" borderId="26" xfId="0" applyNumberForma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0" fontId="0" fillId="2" borderId="31" xfId="0" applyFill="1" applyBorder="1" applyAlignment="1">
      <alignment horizontal="center"/>
    </xf>
    <xf numFmtId="1" fontId="7" fillId="2" borderId="10" xfId="0" applyNumberFormat="1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" fontId="5" fillId="3" borderId="0" xfId="0" applyNumberFormat="1" applyFont="1" applyFill="1" applyAlignment="1">
      <alignment horizontal="left" vertical="top"/>
    </xf>
    <xf numFmtId="1" fontId="0" fillId="0" borderId="0" xfId="0" applyNumberFormat="1"/>
    <xf numFmtId="0" fontId="0" fillId="2" borderId="31" xfId="0" applyFill="1" applyBorder="1" applyAlignment="1">
      <alignment horizontal="center"/>
    </xf>
    <xf numFmtId="1" fontId="0" fillId="2" borderId="26" xfId="0" applyNumberForma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32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" fontId="0" fillId="0" borderId="19" xfId="0" applyNumberFormat="1" applyBorder="1"/>
    <xf numFmtId="0" fontId="0" fillId="0" borderId="21" xfId="0" applyBorder="1"/>
    <xf numFmtId="1" fontId="0" fillId="0" borderId="17" xfId="0" applyNumberFormat="1" applyBorder="1"/>
    <xf numFmtId="0" fontId="0" fillId="0" borderId="1" xfId="0" applyBorder="1"/>
    <xf numFmtId="1" fontId="0" fillId="0" borderId="7" xfId="0" applyNumberFormat="1" applyBorder="1"/>
    <xf numFmtId="0" fontId="0" fillId="0" borderId="32" xfId="0" applyBorder="1"/>
    <xf numFmtId="0" fontId="1" fillId="0" borderId="12" xfId="0" applyFont="1" applyBorder="1"/>
    <xf numFmtId="0" fontId="1" fillId="0" borderId="16" xfId="0" applyFont="1" applyBorder="1"/>
    <xf numFmtId="0" fontId="1" fillId="2" borderId="16" xfId="0" applyFont="1" applyFill="1" applyBorder="1" applyAlignment="1">
      <alignment horizontal="center"/>
    </xf>
    <xf numFmtId="16" fontId="5" fillId="3" borderId="0" xfId="0" applyNumberFormat="1" applyFont="1" applyFill="1" applyAlignment="1">
      <alignment horizontal="center" vertical="center"/>
    </xf>
    <xf numFmtId="16" fontId="14" fillId="3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43" fontId="0" fillId="0" borderId="0" xfId="1" applyFont="1"/>
    <xf numFmtId="0" fontId="0" fillId="0" borderId="0" xfId="1" applyNumberFormat="1" applyFont="1"/>
    <xf numFmtId="166" fontId="0" fillId="0" borderId="0" xfId="1" applyNumberFormat="1" applyFont="1"/>
    <xf numFmtId="0" fontId="7" fillId="2" borderId="42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1" fontId="7" fillId="2" borderId="43" xfId="0" applyNumberFormat="1" applyFont="1" applyFill="1" applyBorder="1" applyAlignment="1">
      <alignment horizontal="center" vertical="center"/>
    </xf>
    <xf numFmtId="1" fontId="7" fillId="2" borderId="30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0" xfId="0" applyFont="1"/>
    <xf numFmtId="166" fontId="1" fillId="0" borderId="0" xfId="1" applyNumberFormat="1" applyFont="1"/>
    <xf numFmtId="0" fontId="1" fillId="0" borderId="0" xfId="1" applyNumberFormat="1" applyFont="1"/>
    <xf numFmtId="43" fontId="1" fillId="0" borderId="0" xfId="1" applyFont="1"/>
    <xf numFmtId="0" fontId="23" fillId="0" borderId="0" xfId="0" applyFont="1"/>
    <xf numFmtId="166" fontId="23" fillId="0" borderId="0" xfId="1" applyNumberFormat="1" applyFont="1"/>
    <xf numFmtId="0" fontId="23" fillId="0" borderId="0" xfId="1" applyNumberFormat="1" applyFont="1"/>
    <xf numFmtId="43" fontId="23" fillId="0" borderId="0" xfId="1" applyFont="1"/>
  </cellXfs>
  <cellStyles count="2">
    <cellStyle name="Millares" xfId="1" builtinId="3"/>
    <cellStyle name="Normal" xfId="0" builtinId="0"/>
  </cellStyles>
  <dxfs count="7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C0006"/>
      <color rgb="FFFFC7CE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PPM'S 1ER y 2DO TURNO</a:t>
            </a:r>
          </a:p>
        </c:rich>
      </c:tx>
      <c:layout>
        <c:manualLayout>
          <c:xMode val="edge"/>
          <c:yMode val="edge"/>
          <c:x val="0.41189347848583052"/>
          <c:y val="1.086262035483990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345002398624274"/>
          <c:y val="7.6812209574427734E-2"/>
          <c:w val="0.80550506699030455"/>
          <c:h val="0.8291052851273355"/>
        </c:manualLayout>
      </c:layout>
      <c:lineChart>
        <c:grouping val="standard"/>
        <c:varyColors val="0"/>
        <c:ser>
          <c:idx val="0"/>
          <c:order val="0"/>
          <c:tx>
            <c:strRef>
              <c:f>'PPM''S'!$A$2:$D$2</c:f>
              <c:strCache>
                <c:ptCount val="1"/>
                <c:pt idx="0">
                  <c:v>1ER TURNO</c:v>
                </c:pt>
              </c:strCache>
            </c:strRef>
          </c:tx>
          <c:spPr>
            <a:ln w="25400" cap="flat" cmpd="sng" algn="ctr">
              <a:solidFill>
                <a:schemeClr val="accent1">
                  <a:shade val="50000"/>
                </a:schemeClr>
              </a:solidFill>
              <a:prstDash val="solid"/>
            </a:ln>
            <a:effectLst/>
          </c:spPr>
          <c:marker>
            <c:spPr>
              <a:solidFill>
                <a:schemeClr val="accent1"/>
              </a:solidFill>
              <a:ln w="25400" cap="flat" cmpd="sng" algn="ctr">
                <a:solidFill>
                  <a:schemeClr val="accent1">
                    <a:shade val="50000"/>
                  </a:schemeClr>
                </a:solidFill>
                <a:prstDash val="solid"/>
              </a:ln>
              <a:effectLst/>
            </c:spPr>
          </c:marker>
          <c:dLbls>
            <c:dLbl>
              <c:idx val="7"/>
              <c:spPr/>
              <c:txPr>
                <a:bodyPr/>
                <a:lstStyle/>
                <a:p>
                  <a:pPr>
                    <a:defRPr lang="en-US" sz="1000" b="0"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E8D-463D-9BC2-BBAF777C8C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'PPM''S'!$A$4:$A$30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</c:numCache>
            </c:numRef>
          </c:cat>
          <c:val>
            <c:numRef>
              <c:f>'PPM''S'!$D$4:$D$35</c:f>
              <c:numCache>
                <c:formatCode>0</c:formatCode>
                <c:ptCount val="32"/>
                <c:pt idx="0">
                  <c:v>4373.6332396126218</c:v>
                </c:pt>
                <c:pt idx="1">
                  <c:v>6478.1491002570692</c:v>
                </c:pt>
                <c:pt idx="2">
                  <c:v>5349.7127006142255</c:v>
                </c:pt>
                <c:pt idx="3">
                  <c:v>6043.0674951059664</c:v>
                </c:pt>
                <c:pt idx="4">
                  <c:v>5149.2710020828508</c:v>
                </c:pt>
                <c:pt idx="5">
                  <c:v>6539.0319536200623</c:v>
                </c:pt>
                <c:pt idx="6">
                  <c:v>6196.9993476842792</c:v>
                </c:pt>
                <c:pt idx="7">
                  <c:v>11811.972679791081</c:v>
                </c:pt>
                <c:pt idx="8">
                  <c:v>4660.7467006819406</c:v>
                </c:pt>
                <c:pt idx="9">
                  <c:v>4083.9017297782716</c:v>
                </c:pt>
                <c:pt idx="10">
                  <c:v>3653.301671385515</c:v>
                </c:pt>
                <c:pt idx="11">
                  <c:v>2714.0851661207298</c:v>
                </c:pt>
                <c:pt idx="12">
                  <c:v>2967.6735559088497</c:v>
                </c:pt>
                <c:pt idx="13">
                  <c:v>3204.5730122986315</c:v>
                </c:pt>
                <c:pt idx="14">
                  <c:v>6894.5197407189162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5161.3171610081363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8D-463D-9BC2-BBAF777C8CEA}"/>
            </c:ext>
          </c:extLst>
        </c:ser>
        <c:ser>
          <c:idx val="1"/>
          <c:order val="1"/>
          <c:tx>
            <c:strRef>
              <c:f>'PPM''S'!$F$2:$H$2</c:f>
              <c:strCache>
                <c:ptCount val="1"/>
                <c:pt idx="0">
                  <c:v>2DO TURNO</c:v>
                </c:pt>
              </c:strCache>
            </c:strRef>
          </c:tx>
          <c:spPr>
            <a:ln w="25400" cap="flat" cmpd="sng" algn="ctr">
              <a:solidFill>
                <a:schemeClr val="accent2">
                  <a:shade val="50000"/>
                </a:schemeClr>
              </a:solidFill>
              <a:prstDash val="solid"/>
            </a:ln>
            <a:effectLst/>
          </c:spPr>
          <c:marker>
            <c:spPr>
              <a:solidFill>
                <a:schemeClr val="accent2"/>
              </a:solidFill>
              <a:ln w="25400" cap="flat" cmpd="sng" algn="ctr">
                <a:solidFill>
                  <a:schemeClr val="accent2">
                    <a:shade val="50000"/>
                  </a:schemeClr>
                </a:solidFill>
                <a:prstDash val="solid"/>
              </a:ln>
              <a:effectLst/>
            </c:spPr>
          </c:marker>
          <c:dLbls>
            <c:dLbl>
              <c:idx val="7"/>
              <c:layout>
                <c:manualLayout>
                  <c:x val="0"/>
                  <c:y val="-3.6509822004556856E-3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lang="en-US" sz="1000" b="0"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8D-463D-9BC2-BBAF777C8CEA}"/>
                </c:ext>
              </c:extLst>
            </c:dLbl>
            <c:dLbl>
              <c:idx val="29"/>
              <c:layout>
                <c:manualLayout>
                  <c:x val="0"/>
                  <c:y val="2.0080402102505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8D-463D-9BC2-BBAF777C8C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'PPM''S'!$A$4:$A$30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</c:numCache>
            </c:numRef>
          </c:cat>
          <c:val>
            <c:numRef>
              <c:f>'PPM''S'!$H$4:$H$35</c:f>
              <c:numCache>
                <c:formatCode>0</c:formatCode>
                <c:ptCount val="32"/>
                <c:pt idx="0">
                  <c:v>9307.0733757655835</c:v>
                </c:pt>
                <c:pt idx="1">
                  <c:v>11811.827134037452</c:v>
                </c:pt>
                <c:pt idx="2">
                  <c:v>8623.7184196237504</c:v>
                </c:pt>
                <c:pt idx="3">
                  <c:v>9061.4498319731156</c:v>
                </c:pt>
                <c:pt idx="4">
                  <c:v>7004.5222178529293</c:v>
                </c:pt>
                <c:pt idx="5">
                  <c:v>17649.239896180941</c:v>
                </c:pt>
                <c:pt idx="6">
                  <c:v>11077.495927391203</c:v>
                </c:pt>
                <c:pt idx="7">
                  <c:v>13479.181369089627</c:v>
                </c:pt>
                <c:pt idx="8">
                  <c:v>10106.708033657689</c:v>
                </c:pt>
                <c:pt idx="9">
                  <c:v>8557.3759595892461</c:v>
                </c:pt>
                <c:pt idx="10">
                  <c:v>12392.006283270792</c:v>
                </c:pt>
                <c:pt idx="11">
                  <c:v>8749.2085419904452</c:v>
                </c:pt>
                <c:pt idx="12">
                  <c:v>20244.328097731239</c:v>
                </c:pt>
                <c:pt idx="13">
                  <c:v>6600.9133822005606</c:v>
                </c:pt>
                <c:pt idx="14">
                  <c:v>10561.708860759494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9923.9673743601088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8D-463D-9BC2-BBAF777C8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78624"/>
        <c:axId val="41197568"/>
      </c:lineChart>
      <c:catAx>
        <c:axId val="4117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1197568"/>
        <c:crosses val="autoZero"/>
        <c:auto val="1"/>
        <c:lblAlgn val="ctr"/>
        <c:lblOffset val="100"/>
        <c:noMultiLvlLbl val="0"/>
      </c:catAx>
      <c:valAx>
        <c:axId val="41197568"/>
        <c:scaling>
          <c:orientation val="minMax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1178624"/>
        <c:crosses val="autoZero"/>
        <c:crossBetween val="between"/>
        <c:majorUnit val="200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n-US"/>
            </a:pPr>
            <a:endParaRPr lang="en-US"/>
          </a:p>
        </c:txPr>
      </c:dTable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PPM's</a:t>
            </a:r>
            <a:r>
              <a:rPr lang="en-US" baseline="0"/>
              <a:t> TOTALES</a:t>
            </a:r>
            <a:endParaRPr lang="en-US"/>
          </a:p>
        </c:rich>
      </c:tx>
      <c:layout>
        <c:manualLayout>
          <c:xMode val="edge"/>
          <c:yMode val="edge"/>
          <c:x val="0.44209206959248082"/>
          <c:y val="3.621398989202007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312423987868638"/>
          <c:y val="5.2424597910652432E-2"/>
          <c:w val="0.77900229099205387"/>
          <c:h val="0.82165586535703461"/>
        </c:manualLayout>
      </c:layout>
      <c:lineChart>
        <c:grouping val="standard"/>
        <c:varyColors val="0"/>
        <c:ser>
          <c:idx val="0"/>
          <c:order val="0"/>
          <c:tx>
            <c:strRef>
              <c:f>'PPM''S'!$L$3</c:f>
              <c:strCache>
                <c:ptCount val="1"/>
                <c:pt idx="0">
                  <c:v>PPM'S Produccion</c:v>
                </c:pt>
              </c:strCache>
            </c:strRef>
          </c:tx>
          <c:spPr>
            <a:ln w="25400" cap="flat" cmpd="sng" algn="ctr">
              <a:solidFill>
                <a:schemeClr val="accent6">
                  <a:shade val="50000"/>
                </a:schemeClr>
              </a:solidFill>
              <a:prstDash val="solid"/>
            </a:ln>
            <a:effectLst/>
          </c:spPr>
          <c:marker>
            <c:spPr>
              <a:solidFill>
                <a:schemeClr val="accent6"/>
              </a:solidFill>
              <a:ln w="25400" cap="flat" cmpd="sng" algn="ctr">
                <a:solidFill>
                  <a:schemeClr val="accent6">
                    <a:shade val="50000"/>
                  </a:schemeClr>
                </a:solidFill>
                <a:prstDash val="solid"/>
              </a:ln>
              <a:effectLst/>
            </c:spPr>
          </c:marker>
          <c:dLbls>
            <c:dLbl>
              <c:idx val="7"/>
              <c:spPr/>
              <c:txPr>
                <a:bodyPr/>
                <a:lstStyle/>
                <a:p>
                  <a:pPr>
                    <a:defRPr lang="en-US" sz="1000" b="1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267-4289-B3B6-0E74818FCAF8}"/>
                </c:ext>
              </c:extLst>
            </c:dLbl>
            <c:dLbl>
              <c:idx val="29"/>
              <c:layout>
                <c:manualLayout>
                  <c:x val="0"/>
                  <c:y val="-2.8971191913615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67-4289-B3B6-0E74818FC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'PPM''S'!$A$4:$A$30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</c:numCache>
            </c:numRef>
          </c:cat>
          <c:val>
            <c:numRef>
              <c:f>'PPM''S'!$L$4:$L$35</c:f>
              <c:numCache>
                <c:formatCode>0</c:formatCode>
                <c:ptCount val="32"/>
                <c:pt idx="0">
                  <c:v>6889.3719954683238</c:v>
                </c:pt>
                <c:pt idx="1">
                  <c:v>9535.9279247656232</c:v>
                </c:pt>
                <c:pt idx="2">
                  <c:v>7162.5636672325973</c:v>
                </c:pt>
                <c:pt idx="3">
                  <c:v>7813.3248864956186</c:v>
                </c:pt>
                <c:pt idx="4">
                  <c:v>6152.3333687679387</c:v>
                </c:pt>
                <c:pt idx="5">
                  <c:v>11829.513754016738</c:v>
                </c:pt>
                <c:pt idx="6">
                  <c:v>8638.5544974037784</c:v>
                </c:pt>
                <c:pt idx="7">
                  <c:v>12699.605485628404</c:v>
                </c:pt>
                <c:pt idx="8">
                  <c:v>7441.9051277126937</c:v>
                </c:pt>
                <c:pt idx="9">
                  <c:v>6601.1537994034652</c:v>
                </c:pt>
                <c:pt idx="10">
                  <c:v>8122.0992502677618</c:v>
                </c:pt>
                <c:pt idx="11">
                  <c:v>5420.3339958185998</c:v>
                </c:pt>
                <c:pt idx="12">
                  <c:v>6991.8699186991871</c:v>
                </c:pt>
                <c:pt idx="13">
                  <c:v>5558.0671754913174</c:v>
                </c:pt>
                <c:pt idx="14">
                  <c:v>9088.7573964497042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7741.0638651387917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67-4289-B3B6-0E74818FCAF8}"/>
            </c:ext>
          </c:extLst>
        </c:ser>
        <c:ser>
          <c:idx val="1"/>
          <c:order val="1"/>
          <c:tx>
            <c:strRef>
              <c:f>'PPM''S'!$K$3</c:f>
              <c:strCache>
                <c:ptCount val="1"/>
                <c:pt idx="0">
                  <c:v>Total de defectos por dia</c:v>
                </c:pt>
              </c:strCache>
            </c:strRef>
          </c:tx>
          <c:spPr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Lbls>
            <c:dLbl>
              <c:idx val="7"/>
              <c:layout>
                <c:manualLayout>
                  <c:x val="1.0012603265811596E-3"/>
                  <c:y val="1.81069949460097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7-4289-B3B6-0E74818FC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'PPM''S'!$A$4:$A$30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</c:numCache>
            </c:numRef>
          </c:cat>
          <c:val>
            <c:numRef>
              <c:f>'PPM''S'!$K$4:$K$35</c:f>
              <c:numCache>
                <c:formatCode>General</c:formatCode>
                <c:ptCount val="32"/>
                <c:pt idx="0">
                  <c:v>225</c:v>
                </c:pt>
                <c:pt idx="1">
                  <c:v>652</c:v>
                </c:pt>
                <c:pt idx="2">
                  <c:v>405</c:v>
                </c:pt>
                <c:pt idx="3">
                  <c:v>444</c:v>
                </c:pt>
                <c:pt idx="4">
                  <c:v>463</c:v>
                </c:pt>
                <c:pt idx="5">
                  <c:v>335</c:v>
                </c:pt>
                <c:pt idx="6">
                  <c:v>371</c:v>
                </c:pt>
                <c:pt idx="7">
                  <c:v>338</c:v>
                </c:pt>
                <c:pt idx="8">
                  <c:v>310</c:v>
                </c:pt>
                <c:pt idx="9">
                  <c:v>706</c:v>
                </c:pt>
                <c:pt idx="10">
                  <c:v>546</c:v>
                </c:pt>
                <c:pt idx="11">
                  <c:v>210</c:v>
                </c:pt>
                <c:pt idx="12">
                  <c:v>86</c:v>
                </c:pt>
                <c:pt idx="13">
                  <c:v>209</c:v>
                </c:pt>
                <c:pt idx="14">
                  <c:v>384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67-4289-B3B6-0E74818FC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76928"/>
        <c:axId val="41278464"/>
      </c:lineChart>
      <c:catAx>
        <c:axId val="4127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1278464"/>
        <c:crosses val="autoZero"/>
        <c:auto val="1"/>
        <c:lblAlgn val="ctr"/>
        <c:lblOffset val="100"/>
        <c:noMultiLvlLbl val="0"/>
      </c:catAx>
      <c:valAx>
        <c:axId val="41278464"/>
        <c:scaling>
          <c:orientation val="minMax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12769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n-US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 DEFECTOS EN MESA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4488407699037621E-2"/>
          <c:y val="0.12545584155757394"/>
          <c:w val="0.88495603674540679"/>
          <c:h val="0.654555642950035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>
                    <a:solidFill>
                      <a:srgbClr val="00B0F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'DEFECT MESA NOV'!#REF!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'DEFECT MESA NOV'!#REF!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'DEFECT MESA NOV'!#REF!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573-495E-BE29-66E623CA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41586048"/>
        <c:axId val="76683136"/>
      </c:barChart>
      <c:catAx>
        <c:axId val="4158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76683136"/>
        <c:crosses val="autoZero"/>
        <c:auto val="1"/>
        <c:lblAlgn val="ctr"/>
        <c:lblOffset val="100"/>
        <c:noMultiLvlLbl val="0"/>
      </c:catAx>
      <c:valAx>
        <c:axId val="76683136"/>
        <c:scaling>
          <c:orientation val="minMax"/>
        </c:scaling>
        <c:delete val="0"/>
        <c:axPos val="l"/>
        <c:majorGridlines>
          <c:spPr>
            <a:ln w="38100" cap="flat" cmpd="sng" algn="ctr">
              <a:solidFill>
                <a:schemeClr val="accent1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1586048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DEFECTOS EN MESA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7164898492104145E-2"/>
          <c:y val="0.16288089031047909"/>
          <c:w val="0.89239112282347965"/>
          <c:h val="0.53737053973789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>
                    <a:solidFill>
                      <a:srgbClr val="00B0F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('DEFECT MESA NOV'!#REF!,'DEFECT MESA NOV'!#REF!)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('DEFECT MESA NOV'!#REF!,'DEFECT MESA NOV'!#REF!)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90-4082-A9BC-B1C8306F0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0493568"/>
        <c:axId val="80503552"/>
      </c:barChart>
      <c:catAx>
        <c:axId val="8049356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0503552"/>
        <c:crosses val="autoZero"/>
        <c:auto val="1"/>
        <c:lblAlgn val="ctr"/>
        <c:lblOffset val="100"/>
        <c:noMultiLvlLbl val="0"/>
      </c:catAx>
      <c:valAx>
        <c:axId val="80503552"/>
        <c:scaling>
          <c:orientation val="minMax"/>
        </c:scaling>
        <c:delete val="0"/>
        <c:axPos val="l"/>
        <c:majorGridlines>
          <c:spPr>
            <a:ln w="38100" cap="flat" cmpd="sng" algn="ctr">
              <a:solidFill>
                <a:schemeClr val="accent1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0493568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DEFECTOS EN MESA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740730455398121E-2"/>
          <c:y val="0.17932599185761974"/>
          <c:w val="0.8997482830214647"/>
          <c:h val="0.5675612086950669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('DEFECT MESA NOV'!#REF!,'DEFECT MESA NOV'!#REF!)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('DEFECT MESA NOV'!#REF!,'DEFECT MESA NOV'!#REF!)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C9B-4AD4-A258-EBA682DD4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0697984"/>
        <c:axId val="80720256"/>
      </c:barChart>
      <c:catAx>
        <c:axId val="806979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0720256"/>
        <c:crosses val="autoZero"/>
        <c:auto val="1"/>
        <c:lblAlgn val="ctr"/>
        <c:lblOffset val="100"/>
        <c:noMultiLvlLbl val="0"/>
      </c:catAx>
      <c:valAx>
        <c:axId val="8072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069798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DEFECTOS EN MESA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046536246684426E-2"/>
          <c:y val="0.14385490275254054"/>
          <c:w val="0.89367601005252262"/>
          <c:h val="0.6220224779595222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'DEFECT MESA NOV'!#REF!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'DEFECT MESA NOV'!#REF!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5FA-47D0-BA89-B8912BD39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0878976"/>
        <c:axId val="82007168"/>
      </c:barChart>
      <c:catAx>
        <c:axId val="808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2007168"/>
        <c:crosses val="autoZero"/>
        <c:auto val="1"/>
        <c:lblAlgn val="ctr"/>
        <c:lblOffset val="100"/>
        <c:noMultiLvlLbl val="0"/>
      </c:catAx>
      <c:valAx>
        <c:axId val="820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087897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DEFECTOS EN MESA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2184232640875062E-2"/>
          <c:y val="0.17567953627716593"/>
          <c:w val="0.8850973432541237"/>
          <c:h val="0.5968554321315472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'DEFECT MESA ENERO'!#REF!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'DEFECT MESA ENERO'!#REF!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62A-42A7-81E8-51E699D8D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6628992"/>
        <c:axId val="86643072"/>
      </c:barChart>
      <c:catAx>
        <c:axId val="8662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6643072"/>
        <c:crosses val="autoZero"/>
        <c:auto val="1"/>
        <c:lblAlgn val="ctr"/>
        <c:lblOffset val="100"/>
        <c:noMultiLvlLbl val="0"/>
      </c:catAx>
      <c:valAx>
        <c:axId val="866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662899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DEFECTOS EN MESA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904015506166919E-2"/>
          <c:y val="0.12471381995803862"/>
          <c:w val="0.88915837700861766"/>
          <c:h val="0.6752794120736548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('DEFECT MESA ENERO'!#REF!,'DEFECT MESA ENERO'!#REF!)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('DEFECT MESA ENERO'!#REF!,'DEFECT MESA ENERO'!#REF!)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28-48C5-BC7B-7E53DFCE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7015424"/>
        <c:axId val="87016960"/>
      </c:barChart>
      <c:catAx>
        <c:axId val="870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7016960"/>
        <c:crosses val="autoZero"/>
        <c:auto val="1"/>
        <c:lblAlgn val="ctr"/>
        <c:lblOffset val="100"/>
        <c:noMultiLvlLbl val="0"/>
      </c:catAx>
      <c:valAx>
        <c:axId val="870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701542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DEFECTOS</a:t>
            </a:r>
            <a:r>
              <a:rPr lang="en-US" baseline="0"/>
              <a:t> EN MESA 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312082181664881E-2"/>
          <c:y val="0.11000669034017807"/>
          <c:w val="0.88605352302385354"/>
          <c:h val="0.658790592352464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('DEFECTOS X MESA'!$M$101:$M$105,'DEFECTOS X MESA'!$M$108:$M$113)</c:f>
              <c:strCache>
                <c:ptCount val="11"/>
                <c:pt idx="0">
                  <c:v>60</c:v>
                </c:pt>
                <c:pt idx="1">
                  <c:v>74</c:v>
                </c:pt>
                <c:pt idx="2">
                  <c:v>43</c:v>
                </c:pt>
                <c:pt idx="3">
                  <c:v>59</c:v>
                </c:pt>
                <c:pt idx="4">
                  <c:v>36</c:v>
                </c:pt>
                <c:pt idx="5">
                  <c:v>MESA</c:v>
                </c:pt>
                <c:pt idx="6">
                  <c:v>59</c:v>
                </c:pt>
                <c:pt idx="7">
                  <c:v>43</c:v>
                </c:pt>
                <c:pt idx="8">
                  <c:v>25</c:v>
                </c:pt>
                <c:pt idx="9">
                  <c:v>27</c:v>
                </c:pt>
                <c:pt idx="10">
                  <c:v>8</c:v>
                </c:pt>
              </c:strCache>
            </c:strRef>
          </c:cat>
          <c:val>
            <c:numRef>
              <c:f>('DEFECTOS X MESA'!$N$101:$N$105,'DEFECTOS X MESA'!$N$108:$N$113)</c:f>
              <c:numCache>
                <c:formatCode>General</c:formatCode>
                <c:ptCount val="11"/>
                <c:pt idx="0">
                  <c:v>25</c:v>
                </c:pt>
                <c:pt idx="1">
                  <c:v>4</c:v>
                </c:pt>
                <c:pt idx="2">
                  <c:v>12</c:v>
                </c:pt>
                <c:pt idx="3">
                  <c:v>55</c:v>
                </c:pt>
                <c:pt idx="4">
                  <c:v>9</c:v>
                </c:pt>
                <c:pt idx="5">
                  <c:v>0</c:v>
                </c:pt>
                <c:pt idx="6">
                  <c:v>78</c:v>
                </c:pt>
                <c:pt idx="7">
                  <c:v>13</c:v>
                </c:pt>
                <c:pt idx="8">
                  <c:v>83</c:v>
                </c:pt>
                <c:pt idx="9">
                  <c:v>35</c:v>
                </c:pt>
                <c:pt idx="10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C-486D-8759-F09B41A39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7248256"/>
        <c:axId val="87279488"/>
      </c:barChart>
      <c:catAx>
        <c:axId val="87248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7279488"/>
        <c:crosses val="autoZero"/>
        <c:auto val="1"/>
        <c:lblAlgn val="ctr"/>
        <c:lblOffset val="100"/>
        <c:noMultiLvlLbl val="0"/>
      </c:catAx>
      <c:valAx>
        <c:axId val="872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724825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DEFECTOS</a:t>
            </a:r>
            <a:r>
              <a:rPr lang="en-US" baseline="0"/>
              <a:t> MAS COMUNES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'DEFECTOS X MESA'!$E$191</c:f>
              <c:strCache>
                <c:ptCount val="1"/>
                <c:pt idx="0">
                  <c:v>5684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X MESA'!$M$118:$M$122</c:f>
              <c:numCache>
                <c:formatCode>General</c:formatCode>
                <c:ptCount val="5"/>
                <c:pt idx="0">
                  <c:v>60</c:v>
                </c:pt>
                <c:pt idx="1">
                  <c:v>43</c:v>
                </c:pt>
                <c:pt idx="2">
                  <c:v>36</c:v>
                </c:pt>
                <c:pt idx="3">
                  <c:v>59</c:v>
                </c:pt>
                <c:pt idx="4">
                  <c:v>8</c:v>
                </c:pt>
              </c:numCache>
            </c:numRef>
          </c:cat>
          <c:val>
            <c:numRef>
              <c:f>'DEFECTOS X MESA'!$N$118:$N$122</c:f>
              <c:numCache>
                <c:formatCode>General</c:formatCode>
                <c:ptCount val="5"/>
                <c:pt idx="0">
                  <c:v>96</c:v>
                </c:pt>
                <c:pt idx="1">
                  <c:v>25</c:v>
                </c:pt>
                <c:pt idx="2">
                  <c:v>34</c:v>
                </c:pt>
                <c:pt idx="3">
                  <c:v>133</c:v>
                </c:pt>
                <c:pt idx="4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C-4251-82A3-C5850E256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8181376"/>
        <c:axId val="94982528"/>
      </c:barChart>
      <c:catAx>
        <c:axId val="881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94982528"/>
        <c:crosses val="autoZero"/>
        <c:auto val="1"/>
        <c:lblAlgn val="ctr"/>
        <c:lblOffset val="100"/>
        <c:noMultiLvlLbl val="0"/>
      </c:catAx>
      <c:valAx>
        <c:axId val="949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881813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1600">
              <a:solidFill>
                <a:srgbClr val="FF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2400"/>
              <a:t>DEFECTOS</a:t>
            </a:r>
            <a:r>
              <a:rPr lang="en-US" sz="2400" baseline="0"/>
              <a:t> EN MESA MENSUAL </a:t>
            </a:r>
            <a:endParaRPr lang="en-US" sz="2400"/>
          </a:p>
        </c:rich>
      </c:tx>
      <c:layout>
        <c:manualLayout>
          <c:xMode val="edge"/>
          <c:yMode val="edge"/>
          <c:x val="0.1968955719002813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0405074365704284E-2"/>
          <c:y val="0.17937855772494687"/>
          <c:w val="0.89267957130360065"/>
          <c:h val="0.5851513205603645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60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('DEFECTOS X MESA'!$M$101:$M$105,'DEFECTOS X MESA'!$M$108:$M$113)</c:f>
              <c:strCache>
                <c:ptCount val="11"/>
                <c:pt idx="0">
                  <c:v>60</c:v>
                </c:pt>
                <c:pt idx="1">
                  <c:v>74</c:v>
                </c:pt>
                <c:pt idx="2">
                  <c:v>43</c:v>
                </c:pt>
                <c:pt idx="3">
                  <c:v>59</c:v>
                </c:pt>
                <c:pt idx="4">
                  <c:v>36</c:v>
                </c:pt>
                <c:pt idx="5">
                  <c:v>MESA</c:v>
                </c:pt>
                <c:pt idx="6">
                  <c:v>59</c:v>
                </c:pt>
                <c:pt idx="7">
                  <c:v>43</c:v>
                </c:pt>
                <c:pt idx="8">
                  <c:v>25</c:v>
                </c:pt>
                <c:pt idx="9">
                  <c:v>27</c:v>
                </c:pt>
                <c:pt idx="10">
                  <c:v>8</c:v>
                </c:pt>
              </c:strCache>
            </c:strRef>
          </c:cat>
          <c:val>
            <c:numRef>
              <c:f>('DEFECTOS X MESA'!$N$101:$N$105,'DEFECTOS X MESA'!$N$108:$N$113)</c:f>
              <c:numCache>
                <c:formatCode>General</c:formatCode>
                <c:ptCount val="11"/>
                <c:pt idx="0">
                  <c:v>25</c:v>
                </c:pt>
                <c:pt idx="1">
                  <c:v>4</c:v>
                </c:pt>
                <c:pt idx="2">
                  <c:v>12</c:v>
                </c:pt>
                <c:pt idx="3">
                  <c:v>55</c:v>
                </c:pt>
                <c:pt idx="4">
                  <c:v>9</c:v>
                </c:pt>
                <c:pt idx="5">
                  <c:v>0</c:v>
                </c:pt>
                <c:pt idx="6">
                  <c:v>78</c:v>
                </c:pt>
                <c:pt idx="7">
                  <c:v>13</c:v>
                </c:pt>
                <c:pt idx="8">
                  <c:v>83</c:v>
                </c:pt>
                <c:pt idx="9">
                  <c:v>35</c:v>
                </c:pt>
                <c:pt idx="10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7-440C-BCF7-98824070E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5017600"/>
        <c:axId val="103289600"/>
      </c:barChart>
      <c:catAx>
        <c:axId val="950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 sz="1400" b="1"/>
            </a:pPr>
            <a:endParaRPr lang="en-US"/>
          </a:p>
        </c:txPr>
        <c:crossAx val="103289600"/>
        <c:crosses val="autoZero"/>
        <c:auto val="1"/>
        <c:lblAlgn val="ctr"/>
        <c:lblOffset val="100"/>
        <c:noMultiLvlLbl val="0"/>
      </c:catAx>
      <c:valAx>
        <c:axId val="1032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 sz="1100" b="1"/>
            </a:pPr>
            <a:endParaRPr lang="en-US"/>
          </a:p>
        </c:txPr>
        <c:crossAx val="9501760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 sz="2400"/>
            </a:pPr>
            <a:r>
              <a:rPr lang="en-US" sz="2400"/>
              <a:t>DEFECTOS MAS COMUNES MENSUAL </a:t>
            </a:r>
          </a:p>
        </c:rich>
      </c:tx>
      <c:layout>
        <c:manualLayout>
          <c:xMode val="edge"/>
          <c:yMode val="edge"/>
          <c:x val="0.11256554272602738"/>
          <c:y val="4.0447245283136563E-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'DEFECTOS X MESA'!$E$191</c:f>
              <c:strCache>
                <c:ptCount val="1"/>
                <c:pt idx="0">
                  <c:v>5684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60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X MESA'!$M$118:$M$122</c:f>
              <c:numCache>
                <c:formatCode>General</c:formatCode>
                <c:ptCount val="5"/>
                <c:pt idx="0">
                  <c:v>60</c:v>
                </c:pt>
                <c:pt idx="1">
                  <c:v>43</c:v>
                </c:pt>
                <c:pt idx="2">
                  <c:v>36</c:v>
                </c:pt>
                <c:pt idx="3">
                  <c:v>59</c:v>
                </c:pt>
                <c:pt idx="4">
                  <c:v>8</c:v>
                </c:pt>
              </c:numCache>
            </c:numRef>
          </c:cat>
          <c:val>
            <c:numRef>
              <c:f>'DEFECTOS X MESA'!$N$118:$N$122</c:f>
              <c:numCache>
                <c:formatCode>General</c:formatCode>
                <c:ptCount val="5"/>
                <c:pt idx="0">
                  <c:v>96</c:v>
                </c:pt>
                <c:pt idx="1">
                  <c:v>25</c:v>
                </c:pt>
                <c:pt idx="2">
                  <c:v>34</c:v>
                </c:pt>
                <c:pt idx="3">
                  <c:v>133</c:v>
                </c:pt>
                <c:pt idx="4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A-42E9-91BE-ED32072C6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17481472"/>
        <c:axId val="117483008"/>
      </c:barChart>
      <c:catAx>
        <c:axId val="11748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 sz="1400" b="1"/>
            </a:pPr>
            <a:endParaRPr lang="en-US"/>
          </a:p>
        </c:txPr>
        <c:crossAx val="117483008"/>
        <c:crosses val="autoZero"/>
        <c:auto val="1"/>
        <c:lblAlgn val="ctr"/>
        <c:lblOffset val="100"/>
        <c:noMultiLvlLbl val="0"/>
      </c:catAx>
      <c:valAx>
        <c:axId val="11748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 sz="1100" b="1"/>
            </a:pPr>
            <a:endParaRPr lang="en-US"/>
          </a:p>
        </c:txPr>
        <c:crossAx val="1174814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1800" b="1">
              <a:solidFill>
                <a:srgbClr val="FF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 sz="2000"/>
            </a:pPr>
            <a:r>
              <a:rPr lang="en-US" sz="2000"/>
              <a:t>DEFECTOS MAS COMUNES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2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'DEFECT MESA ENERO'!#REF!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'DEFECT MESA ENERO'!#REF!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'DEFECT MESA ENERO'!#REF!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46D-4107-B0B8-1E32B9CCE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17773056"/>
        <c:axId val="117774976"/>
      </c:barChart>
      <c:catAx>
        <c:axId val="1177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 sz="1200" b="1"/>
            </a:pPr>
            <a:endParaRPr lang="en-US"/>
          </a:p>
        </c:txPr>
        <c:crossAx val="117774976"/>
        <c:crosses val="autoZero"/>
        <c:auto val="1"/>
        <c:lblAlgn val="ctr"/>
        <c:lblOffset val="100"/>
        <c:noMultiLvlLbl val="0"/>
      </c:catAx>
      <c:valAx>
        <c:axId val="1177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177730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1200" b="1"/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DEFECTOS EN MESA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02187226596671E-2"/>
          <c:y val="0.15163084344186994"/>
          <c:w val="0.8271380139982506"/>
          <c:h val="0.6268164857771155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400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('DEFECT MESA ENERO'!#REF!,'DEFECT MESA ENERO'!#REF!)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('DEFECT MESA ENERO'!#REF!,'DEFECT MESA ENERO'!#REF!)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736-41AF-9010-E00F6B9A6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21652352"/>
        <c:axId val="121654272"/>
      </c:barChart>
      <c:catAx>
        <c:axId val="1216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1654272"/>
        <c:crosses val="autoZero"/>
        <c:auto val="1"/>
        <c:lblAlgn val="ctr"/>
        <c:lblOffset val="100"/>
        <c:noMultiLvlLbl val="0"/>
      </c:catAx>
      <c:valAx>
        <c:axId val="1216542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16523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 algn="ctr" rtl="0">
              <a:defRPr lang="es-ES"/>
            </a:pPr>
            <a:r>
              <a:rPr lang="en-US"/>
              <a:t>DEFECTOS EN MESA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02187226596671E-2"/>
          <c:y val="0.15163084344186994"/>
          <c:w val="0.8271380139982506"/>
          <c:h val="0.62681648577711557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1600"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('DEFECTOS X MESA'!$M$5:$M$9,'DEFECTOS X MESA'!$M$12:$M$17)</c:f>
              <c:strCache>
                <c:ptCount val="11"/>
                <c:pt idx="0">
                  <c:v>16</c:v>
                </c:pt>
                <c:pt idx="1">
                  <c:v>7</c:v>
                </c:pt>
                <c:pt idx="2">
                  <c:v>67</c:v>
                </c:pt>
                <c:pt idx="3">
                  <c:v>54</c:v>
                </c:pt>
                <c:pt idx="4">
                  <c:v>6</c:v>
                </c:pt>
                <c:pt idx="5">
                  <c:v>MESA</c:v>
                </c:pt>
                <c:pt idx="6">
                  <c:v>41</c:v>
                </c:pt>
                <c:pt idx="7">
                  <c:v>12</c:v>
                </c:pt>
                <c:pt idx="8">
                  <c:v>69</c:v>
                </c:pt>
                <c:pt idx="9">
                  <c:v>67</c:v>
                </c:pt>
                <c:pt idx="10">
                  <c:v>23</c:v>
                </c:pt>
              </c:strCache>
            </c:strRef>
          </c:cat>
          <c:val>
            <c:numRef>
              <c:f>('DEFECTOS X MESA'!$N$5:$N$9,'DEFECTOS X MESA'!$N$12:$N$17)</c:f>
              <c:numCache>
                <c:formatCode>General</c:formatCode>
                <c:ptCount val="11"/>
                <c:pt idx="0">
                  <c:v>36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6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36</c:v>
                </c:pt>
                <c:pt idx="9">
                  <c:v>13</c:v>
                </c:pt>
                <c:pt idx="1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E-4085-B01C-BE740C490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1748864"/>
        <c:axId val="121759232"/>
      </c:barChart>
      <c:catAx>
        <c:axId val="1217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s-ES" sz="1400" b="1"/>
            </a:pPr>
            <a:endParaRPr lang="en-US"/>
          </a:p>
        </c:txPr>
        <c:crossAx val="121759232"/>
        <c:crosses val="autoZero"/>
        <c:auto val="1"/>
        <c:lblAlgn val="ctr"/>
        <c:lblOffset val="100"/>
        <c:noMultiLvlLbl val="0"/>
      </c:catAx>
      <c:valAx>
        <c:axId val="1217592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s-ES" sz="1200" b="1"/>
            </a:pPr>
            <a:endParaRPr lang="en-US"/>
          </a:p>
        </c:txPr>
        <c:crossAx val="12174886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 algn="ctr" rtl="0">
              <a:defRPr lang="es-ES"/>
            </a:pPr>
            <a:r>
              <a:rPr lang="en-US"/>
              <a:t>DEFECTOS MAS                  COMUNES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'DEFECTOS X MESA'!$E$95</c:f>
              <c:strCache>
                <c:ptCount val="1"/>
                <c:pt idx="0">
                  <c:v>384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1600"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X MESA'!$M$21:$M$25</c:f>
              <c:numCache>
                <c:formatCode>General</c:formatCode>
                <c:ptCount val="5"/>
                <c:pt idx="0">
                  <c:v>6</c:v>
                </c:pt>
                <c:pt idx="1">
                  <c:v>41</c:v>
                </c:pt>
                <c:pt idx="2">
                  <c:v>67</c:v>
                </c:pt>
                <c:pt idx="3">
                  <c:v>16</c:v>
                </c:pt>
                <c:pt idx="4">
                  <c:v>23</c:v>
                </c:pt>
              </c:numCache>
            </c:numRef>
          </c:cat>
          <c:val>
            <c:numRef>
              <c:f>'DEFECTOS X MESA'!$N$21:$N$25</c:f>
              <c:numCache>
                <c:formatCode>General</c:formatCode>
                <c:ptCount val="5"/>
                <c:pt idx="0">
                  <c:v>26</c:v>
                </c:pt>
                <c:pt idx="1">
                  <c:v>20</c:v>
                </c:pt>
                <c:pt idx="2">
                  <c:v>35</c:v>
                </c:pt>
                <c:pt idx="3">
                  <c:v>40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C-4F4E-B126-16B1BE448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5046784"/>
        <c:axId val="125048320"/>
      </c:barChart>
      <c:catAx>
        <c:axId val="1250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125048320"/>
        <c:crosses val="autoZero"/>
        <c:auto val="1"/>
        <c:lblAlgn val="ctr"/>
        <c:lblOffset val="100"/>
        <c:noMultiLvlLbl val="0"/>
      </c:catAx>
      <c:valAx>
        <c:axId val="1250483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s-ES" sz="1200" b="1"/>
            </a:pPr>
            <a:endParaRPr lang="en-US"/>
          </a:p>
        </c:txPr>
        <c:crossAx val="1250467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 sz="1800" b="1">
              <a:solidFill>
                <a:srgbClr val="FF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400">
                <a:solidFill>
                  <a:srgbClr val="FF0000"/>
                </a:solidFill>
              </a:rPr>
              <a:t>RECHAZOS POR TURNO/MESA</a:t>
            </a:r>
          </a:p>
          <a:p>
            <a:pPr>
              <a:defRPr lang="es-ES"/>
            </a:pPr>
            <a:r>
              <a:rPr lang="en-US"/>
              <a:t>1TURNO:  1853               2TURNO: 2037</a:t>
            </a:r>
          </a:p>
        </c:rich>
      </c:tx>
      <c:layout>
        <c:manualLayout>
          <c:xMode val="edge"/>
          <c:yMode val="edge"/>
          <c:x val="0.11810717770698226"/>
          <c:y val="1.21400972419431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285155222801882E-2"/>
          <c:y val="0.15578142076503318"/>
          <c:w val="0.93942968955439665"/>
          <c:h val="0.66713583752855166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1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('DEFECTOS X MESA'!$M$101:$M$105,'DEFECTOS X MESA'!$M$108:$M$113)</c:f>
              <c:strCache>
                <c:ptCount val="11"/>
                <c:pt idx="0">
                  <c:v>60</c:v>
                </c:pt>
                <c:pt idx="1">
                  <c:v>74</c:v>
                </c:pt>
                <c:pt idx="2">
                  <c:v>43</c:v>
                </c:pt>
                <c:pt idx="3">
                  <c:v>59</c:v>
                </c:pt>
                <c:pt idx="4">
                  <c:v>36</c:v>
                </c:pt>
                <c:pt idx="5">
                  <c:v>MESA</c:v>
                </c:pt>
                <c:pt idx="6">
                  <c:v>59</c:v>
                </c:pt>
                <c:pt idx="7">
                  <c:v>43</c:v>
                </c:pt>
                <c:pt idx="8">
                  <c:v>25</c:v>
                </c:pt>
                <c:pt idx="9">
                  <c:v>27</c:v>
                </c:pt>
                <c:pt idx="10">
                  <c:v>8</c:v>
                </c:pt>
              </c:strCache>
            </c:strRef>
          </c:cat>
          <c:val>
            <c:numRef>
              <c:f>('DEFECTOS X MESA'!$N$101:$N$105,'DEFECTOS X MESA'!$N$108:$N$113)</c:f>
              <c:numCache>
                <c:formatCode>General</c:formatCode>
                <c:ptCount val="11"/>
                <c:pt idx="0">
                  <c:v>25</c:v>
                </c:pt>
                <c:pt idx="1">
                  <c:v>4</c:v>
                </c:pt>
                <c:pt idx="2">
                  <c:v>12</c:v>
                </c:pt>
                <c:pt idx="3">
                  <c:v>55</c:v>
                </c:pt>
                <c:pt idx="4">
                  <c:v>9</c:v>
                </c:pt>
                <c:pt idx="5">
                  <c:v>0</c:v>
                </c:pt>
                <c:pt idx="6">
                  <c:v>78</c:v>
                </c:pt>
                <c:pt idx="7">
                  <c:v>13</c:v>
                </c:pt>
                <c:pt idx="8">
                  <c:v>83</c:v>
                </c:pt>
                <c:pt idx="9">
                  <c:v>35</c:v>
                </c:pt>
                <c:pt idx="10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3-4424-A317-A61EEB99F9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28700800"/>
        <c:axId val="130396160"/>
      </c:barChart>
      <c:catAx>
        <c:axId val="1287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130396160"/>
        <c:crosses val="autoZero"/>
        <c:auto val="1"/>
        <c:lblAlgn val="ctr"/>
        <c:lblOffset val="100"/>
        <c:noMultiLvlLbl val="0"/>
      </c:catAx>
      <c:valAx>
        <c:axId val="1303961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28700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277" l="0.70000000000000062" r="0.70000000000000062" t="0.75000000000001277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400">
                <a:solidFill>
                  <a:srgbClr val="FF0000"/>
                </a:solidFill>
              </a:rPr>
              <a:t>TOTAL RECHAZOS POR MESA</a:t>
            </a:r>
          </a:p>
        </c:rich>
      </c:tx>
      <c:layout>
        <c:manualLayout>
          <c:xMode val="edge"/>
          <c:yMode val="edge"/>
          <c:x val="0.15699606299213295"/>
          <c:y val="1.43258895916699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82E-2"/>
          <c:y val="0.18153057097371017"/>
          <c:w val="0.93888888888889765"/>
          <c:h val="0.632444214964932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'DEFECTOS X MESA'!$E$191</c:f>
              <c:strCache>
                <c:ptCount val="1"/>
                <c:pt idx="0">
                  <c:v>5684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1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X MESA'!$M$118:$M$122</c:f>
              <c:numCache>
                <c:formatCode>General</c:formatCode>
                <c:ptCount val="5"/>
                <c:pt idx="0">
                  <c:v>60</c:v>
                </c:pt>
                <c:pt idx="1">
                  <c:v>43</c:v>
                </c:pt>
                <c:pt idx="2">
                  <c:v>36</c:v>
                </c:pt>
                <c:pt idx="3">
                  <c:v>59</c:v>
                </c:pt>
                <c:pt idx="4">
                  <c:v>8</c:v>
                </c:pt>
              </c:numCache>
            </c:numRef>
          </c:cat>
          <c:val>
            <c:numRef>
              <c:f>'DEFECTOS X MESA'!$N$118:$N$122</c:f>
              <c:numCache>
                <c:formatCode>General</c:formatCode>
                <c:ptCount val="5"/>
                <c:pt idx="0">
                  <c:v>96</c:v>
                </c:pt>
                <c:pt idx="1">
                  <c:v>25</c:v>
                </c:pt>
                <c:pt idx="2">
                  <c:v>34</c:v>
                </c:pt>
                <c:pt idx="3">
                  <c:v>133</c:v>
                </c:pt>
                <c:pt idx="4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8-4280-96B5-9787B85E9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35104000"/>
        <c:axId val="135105536"/>
      </c:barChart>
      <c:catAx>
        <c:axId val="1351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800" b="1"/>
            </a:pPr>
            <a:endParaRPr lang="en-US"/>
          </a:p>
        </c:txPr>
        <c:crossAx val="135105536"/>
        <c:crosses val="autoZero"/>
        <c:auto val="1"/>
        <c:lblAlgn val="ctr"/>
        <c:lblOffset val="100"/>
        <c:noMultiLvlLbl val="0"/>
      </c:catAx>
      <c:valAx>
        <c:axId val="1351055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3510400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8895092859149138"/>
          <c:y val="0.14485245901639887"/>
          <c:w val="0.23229571679811434"/>
          <c:h val="4.4816488102924303E-2"/>
        </c:manualLayout>
      </c:layout>
      <c:overlay val="0"/>
      <c:txPr>
        <a:bodyPr/>
        <a:lstStyle/>
        <a:p>
          <a:pPr>
            <a:defRPr lang="es-ES" sz="1800" b="1">
              <a:solidFill>
                <a:srgbClr val="FF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277" l="0.70000000000000062" r="0.70000000000000062" t="0.75000000000001277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RECHAZOS POR TURNO/MESA</a:t>
            </a:r>
          </a:p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1er Turno:</a:t>
            </a:r>
            <a:r>
              <a:rPr lang="en-US" sz="2000" baseline="0" dirty="0">
                <a:solidFill>
                  <a:srgbClr val="FF0000"/>
                </a:solidFill>
              </a:rPr>
              <a:t>               2do Turno:    </a:t>
            </a:r>
            <a:endParaRPr lang="en-US" sz="2000" dirty="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4292258519180992"/>
          <c:y val="1.72786903121683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913003890136611E-2"/>
          <c:y val="0.15578142076503479"/>
          <c:w val="0.8928019832515276"/>
          <c:h val="0.664254558130255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X MESA'!$M$5:$M$9,'DEFECTOS X MESA'!$M$13:$M$17)</c:f>
              <c:numCache>
                <c:formatCode>General</c:formatCode>
                <c:ptCount val="10"/>
                <c:pt idx="0">
                  <c:v>16</c:v>
                </c:pt>
                <c:pt idx="1">
                  <c:v>7</c:v>
                </c:pt>
                <c:pt idx="2">
                  <c:v>67</c:v>
                </c:pt>
                <c:pt idx="3">
                  <c:v>54</c:v>
                </c:pt>
                <c:pt idx="4">
                  <c:v>6</c:v>
                </c:pt>
                <c:pt idx="5">
                  <c:v>41</c:v>
                </c:pt>
                <c:pt idx="6">
                  <c:v>12</c:v>
                </c:pt>
                <c:pt idx="7">
                  <c:v>69</c:v>
                </c:pt>
                <c:pt idx="8">
                  <c:v>67</c:v>
                </c:pt>
                <c:pt idx="9">
                  <c:v>23</c:v>
                </c:pt>
              </c:numCache>
            </c:numRef>
          </c:cat>
          <c:val>
            <c:numRef>
              <c:f>('DEFECTOS X MESA'!$P$5:$P$9,'DEFECTOS X MESA'!$P$13:$P$17)</c:f>
              <c:numCache>
                <c:formatCode>0</c:formatCode>
                <c:ptCount val="10"/>
                <c:pt idx="0">
                  <c:v>37500</c:v>
                </c:pt>
                <c:pt idx="1">
                  <c:v>31818.181818181816</c:v>
                </c:pt>
                <c:pt idx="2">
                  <c:v>30555.555555555555</c:v>
                </c:pt>
                <c:pt idx="3">
                  <c:v>23584.905660377361</c:v>
                </c:pt>
                <c:pt idx="4">
                  <c:v>19047.61904761905</c:v>
                </c:pt>
                <c:pt idx="5">
                  <c:v>333333.33333333331</c:v>
                </c:pt>
                <c:pt idx="6">
                  <c:v>133333.33333333334</c:v>
                </c:pt>
                <c:pt idx="7">
                  <c:v>35294.117647058825</c:v>
                </c:pt>
                <c:pt idx="8">
                  <c:v>33333.333333333336</c:v>
                </c:pt>
                <c:pt idx="9">
                  <c:v>24719.101123595505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C-4F2D-8A91-2F8842438B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0365440"/>
        <c:axId val="40436864"/>
      </c:barChart>
      <c:catAx>
        <c:axId val="4036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40436864"/>
        <c:crosses val="autoZero"/>
        <c:auto val="1"/>
        <c:lblAlgn val="ctr"/>
        <c:lblOffset val="100"/>
        <c:noMultiLvlLbl val="0"/>
      </c:catAx>
      <c:valAx>
        <c:axId val="40436864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036544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44" l="0.70000000000000062" r="0.70000000000000062" t="0.75000000000001044" header="0.30000000000000032" footer="0.30000000000000032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TOTAL RECHAZOS</a:t>
            </a:r>
            <a:r>
              <a:rPr lang="en-US" sz="2000" baseline="0" dirty="0">
                <a:solidFill>
                  <a:srgbClr val="FF0000"/>
                </a:solidFill>
              </a:rPr>
              <a:t> </a:t>
            </a:r>
            <a:r>
              <a:rPr lang="en-US" sz="2000" dirty="0">
                <a:solidFill>
                  <a:srgbClr val="FF0000"/>
                </a:solidFill>
              </a:rPr>
              <a:t>POR MESA</a:t>
            </a:r>
          </a:p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Total:</a:t>
            </a:r>
            <a:endParaRPr lang="en-US" sz="1600" dirty="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6255576783806427"/>
          <c:y val="3.814224768910419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906726476424191E-2"/>
          <c:y val="0.19609305305097174"/>
          <c:w val="0.88189932151062611"/>
          <c:h val="0.63758230090119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'DEFECTOS X MESA'!$E$95</c:f>
              <c:strCache>
                <c:ptCount val="1"/>
                <c:pt idx="0">
                  <c:v>384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lang="es-ES" sz="1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X MESA'!$M$21:$M$25</c:f>
              <c:numCache>
                <c:formatCode>General</c:formatCode>
                <c:ptCount val="5"/>
                <c:pt idx="0">
                  <c:v>6</c:v>
                </c:pt>
                <c:pt idx="1">
                  <c:v>41</c:v>
                </c:pt>
                <c:pt idx="2">
                  <c:v>67</c:v>
                </c:pt>
                <c:pt idx="3">
                  <c:v>16</c:v>
                </c:pt>
                <c:pt idx="4">
                  <c:v>23</c:v>
                </c:pt>
              </c:numCache>
            </c:numRef>
          </c:cat>
          <c:val>
            <c:numRef>
              <c:f>'DEFECTOS X MESA'!$P$21:$P$25</c:f>
              <c:numCache>
                <c:formatCode>0</c:formatCode>
                <c:ptCount val="5"/>
                <c:pt idx="0">
                  <c:v>12560.386473429951</c:v>
                </c:pt>
                <c:pt idx="1">
                  <c:v>49019.607843137252</c:v>
                </c:pt>
                <c:pt idx="2">
                  <c:v>31531.531531531527</c:v>
                </c:pt>
                <c:pt idx="3">
                  <c:v>20833.333333333332</c:v>
                </c:pt>
                <c:pt idx="4">
                  <c:v>14232.209737827714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48B2-97A3-0AD9533886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0466304"/>
        <c:axId val="40467840"/>
      </c:barChart>
      <c:catAx>
        <c:axId val="404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40467840"/>
        <c:crosses val="autoZero"/>
        <c:auto val="1"/>
        <c:lblAlgn val="ctr"/>
        <c:lblOffset val="100"/>
        <c:noMultiLvlLbl val="0"/>
      </c:catAx>
      <c:valAx>
        <c:axId val="4046784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046630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66" l="0.70000000000000062" r="0.70000000000000062" t="0.75000000000001066" header="0.30000000000000032" footer="0.3000000000000003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RECHAZOS POR TURNO/MESA</a:t>
            </a:r>
          </a:p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1er Turno:</a:t>
            </a:r>
            <a:r>
              <a:rPr lang="en-US" sz="2000" baseline="0" dirty="0">
                <a:solidFill>
                  <a:srgbClr val="FF0000"/>
                </a:solidFill>
              </a:rPr>
              <a:t>               2do Turno:    </a:t>
            </a:r>
            <a:endParaRPr lang="en-US" sz="2000" dirty="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4292258519180998"/>
          <c:y val="1.72786903121683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913003890136653E-2"/>
          <c:y val="0.15578142076503487"/>
          <c:w val="0.8928019832515276"/>
          <c:h val="0.664254558130255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X MESA'!$M$101:$M$105,'DEFECTOS X MESA'!$M$109:$M$113)</c:f>
              <c:numCache>
                <c:formatCode>General</c:formatCode>
                <c:ptCount val="10"/>
                <c:pt idx="0">
                  <c:v>60</c:v>
                </c:pt>
                <c:pt idx="1">
                  <c:v>74</c:v>
                </c:pt>
                <c:pt idx="2">
                  <c:v>43</c:v>
                </c:pt>
                <c:pt idx="3">
                  <c:v>59</c:v>
                </c:pt>
                <c:pt idx="4">
                  <c:v>36</c:v>
                </c:pt>
                <c:pt idx="5">
                  <c:v>59</c:v>
                </c:pt>
                <c:pt idx="6">
                  <c:v>43</c:v>
                </c:pt>
                <c:pt idx="7">
                  <c:v>25</c:v>
                </c:pt>
                <c:pt idx="8">
                  <c:v>27</c:v>
                </c:pt>
                <c:pt idx="9">
                  <c:v>8</c:v>
                </c:pt>
              </c:numCache>
            </c:numRef>
          </c:cat>
          <c:val>
            <c:numRef>
              <c:f>('DEFECTOS X MESA'!$P$101:$P$105,'DEFECTOS X MESA'!$P$109:$P$113)</c:f>
              <c:numCache>
                <c:formatCode>0</c:formatCode>
                <c:ptCount val="10"/>
                <c:pt idx="0">
                  <c:v>138888.88888888891</c:v>
                </c:pt>
                <c:pt idx="1">
                  <c:v>72727.272727272721</c:v>
                </c:pt>
                <c:pt idx="2">
                  <c:v>63157.894736842107</c:v>
                </c:pt>
                <c:pt idx="3">
                  <c:v>34634.760705289671</c:v>
                </c:pt>
                <c:pt idx="4">
                  <c:v>27777.777777777777</c:v>
                </c:pt>
                <c:pt idx="5">
                  <c:v>64676.616915422885</c:v>
                </c:pt>
                <c:pt idx="6">
                  <c:v>59090.909090909088</c:v>
                </c:pt>
                <c:pt idx="7">
                  <c:v>32936.507936507936</c:v>
                </c:pt>
                <c:pt idx="8">
                  <c:v>32407.407407407405</c:v>
                </c:pt>
                <c:pt idx="9">
                  <c:v>28764.805414551607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F-4E75-89C6-777D163E90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0493440"/>
        <c:axId val="40494976"/>
      </c:barChart>
      <c:catAx>
        <c:axId val="4049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40494976"/>
        <c:crosses val="autoZero"/>
        <c:auto val="1"/>
        <c:lblAlgn val="ctr"/>
        <c:lblOffset val="100"/>
        <c:noMultiLvlLbl val="0"/>
      </c:catAx>
      <c:valAx>
        <c:axId val="4049497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049344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66" l="0.70000000000000062" r="0.70000000000000062" t="0.75000000000001066" header="0.30000000000000032" footer="0.30000000000000032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TOTAL RECHAZOS</a:t>
            </a:r>
            <a:r>
              <a:rPr lang="en-US" sz="2000" baseline="0" dirty="0">
                <a:solidFill>
                  <a:srgbClr val="FF0000"/>
                </a:solidFill>
              </a:rPr>
              <a:t> </a:t>
            </a:r>
            <a:r>
              <a:rPr lang="en-US" sz="2000" dirty="0">
                <a:solidFill>
                  <a:srgbClr val="FF0000"/>
                </a:solidFill>
              </a:rPr>
              <a:t>POR MESA</a:t>
            </a:r>
          </a:p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Total:</a:t>
            </a:r>
            <a:endParaRPr lang="en-US" sz="1600" dirty="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6255576783806427"/>
          <c:y val="3.814224768910422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906726476424191E-2"/>
          <c:y val="0.19609305305097174"/>
          <c:w val="0.88189932151062611"/>
          <c:h val="0.637582300901191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lang="es-ES" sz="1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X MESA'!$M$118:$M$122</c:f>
              <c:numCache>
                <c:formatCode>General</c:formatCode>
                <c:ptCount val="5"/>
                <c:pt idx="0">
                  <c:v>60</c:v>
                </c:pt>
                <c:pt idx="1">
                  <c:v>43</c:v>
                </c:pt>
                <c:pt idx="2">
                  <c:v>36</c:v>
                </c:pt>
                <c:pt idx="3">
                  <c:v>59</c:v>
                </c:pt>
                <c:pt idx="4">
                  <c:v>8</c:v>
                </c:pt>
              </c:numCache>
            </c:numRef>
          </c:cat>
          <c:val>
            <c:numRef>
              <c:f>'DEFECTOS X MESA'!$P$118:$P$122</c:f>
              <c:numCache>
                <c:formatCode>0</c:formatCode>
                <c:ptCount val="5"/>
                <c:pt idx="0">
                  <c:v>31861.931629605046</c:v>
                </c:pt>
                <c:pt idx="1">
                  <c:v>60975.609756097561</c:v>
                </c:pt>
                <c:pt idx="2">
                  <c:v>8928.5714285714275</c:v>
                </c:pt>
                <c:pt idx="3">
                  <c:v>47602.004294917686</c:v>
                </c:pt>
                <c:pt idx="4">
                  <c:v>23397.435897435898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2-4F56-B6BB-E7B33D6481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0524416"/>
        <c:axId val="40538496"/>
      </c:barChart>
      <c:catAx>
        <c:axId val="4052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40538496"/>
        <c:crosses val="autoZero"/>
        <c:auto val="1"/>
        <c:lblAlgn val="ctr"/>
        <c:lblOffset val="100"/>
        <c:noMultiLvlLbl val="0"/>
      </c:catAx>
      <c:valAx>
        <c:axId val="4053849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052441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RECHAZOS POR TURNO/MESA</a:t>
            </a:r>
          </a:p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1er Turno</a:t>
            </a:r>
            <a:r>
              <a:rPr lang="en-US" sz="2000" baseline="0" dirty="0">
                <a:solidFill>
                  <a:srgbClr val="FF0000"/>
                </a:solidFill>
              </a:rPr>
              <a:t>               2do Turno    </a:t>
            </a:r>
            <a:endParaRPr lang="en-US" sz="2000" dirty="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4292258519180998"/>
          <c:y val="1.72786903121683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913003890136653E-2"/>
          <c:y val="0.15578142076503487"/>
          <c:w val="0.8928019832515276"/>
          <c:h val="0.664254558130255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X MESA'!$AH$5:$AH$9,'DEFECTOS X MESA'!$AH$13:$AH$17)</c:f>
              <c:numCache>
                <c:formatCode>General</c:formatCode>
                <c:ptCount val="10"/>
                <c:pt idx="0">
                  <c:v>16</c:v>
                </c:pt>
                <c:pt idx="1">
                  <c:v>67</c:v>
                </c:pt>
                <c:pt idx="2">
                  <c:v>7</c:v>
                </c:pt>
                <c:pt idx="3">
                  <c:v>54</c:v>
                </c:pt>
                <c:pt idx="4">
                  <c:v>6</c:v>
                </c:pt>
                <c:pt idx="5">
                  <c:v>69</c:v>
                </c:pt>
                <c:pt idx="6">
                  <c:v>23</c:v>
                </c:pt>
                <c:pt idx="7">
                  <c:v>41</c:v>
                </c:pt>
                <c:pt idx="8">
                  <c:v>61</c:v>
                </c:pt>
                <c:pt idx="9">
                  <c:v>62</c:v>
                </c:pt>
              </c:numCache>
            </c:numRef>
          </c:cat>
          <c:val>
            <c:numRef>
              <c:f>('DEFECTOS X MESA'!$AI$5:$AI$9,'DEFECTOS X MESA'!$AI$13:$AI$17)</c:f>
              <c:numCache>
                <c:formatCode>General</c:formatCode>
                <c:ptCount val="10"/>
                <c:pt idx="0">
                  <c:v>36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6</c:v>
                </c:pt>
                <c:pt idx="5">
                  <c:v>36</c:v>
                </c:pt>
                <c:pt idx="6">
                  <c:v>33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3-4299-A3B4-B020A9CB74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0563840"/>
        <c:axId val="40565376"/>
      </c:barChart>
      <c:catAx>
        <c:axId val="405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40565376"/>
        <c:crosses val="autoZero"/>
        <c:auto val="1"/>
        <c:lblAlgn val="ctr"/>
        <c:lblOffset val="100"/>
        <c:noMultiLvlLbl val="0"/>
      </c:catAx>
      <c:valAx>
        <c:axId val="40565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056384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66" l="0.70000000000000062" r="0.70000000000000062" t="0.75000000000001066" header="0.30000000000000032" footer="0.30000000000000032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TOTAL RECHAZOS</a:t>
            </a:r>
            <a:r>
              <a:rPr lang="en-US" sz="2000" baseline="0" dirty="0">
                <a:solidFill>
                  <a:srgbClr val="FF0000"/>
                </a:solidFill>
              </a:rPr>
              <a:t> </a:t>
            </a:r>
            <a:r>
              <a:rPr lang="en-US" sz="2000" dirty="0">
                <a:solidFill>
                  <a:srgbClr val="FF0000"/>
                </a:solidFill>
              </a:rPr>
              <a:t>POR MESA</a:t>
            </a:r>
          </a:p>
        </c:rich>
      </c:tx>
      <c:layout>
        <c:manualLayout>
          <c:xMode val="edge"/>
          <c:yMode val="edge"/>
          <c:x val="0.16255576783806427"/>
          <c:y val="3.814224768910422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906726476424191E-2"/>
          <c:y val="0.19609305305097174"/>
          <c:w val="0.88189932151062611"/>
          <c:h val="0.637582300901191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lang="es-ES" sz="1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X MESA'!$AH$21:$AH$25</c:f>
              <c:numCache>
                <c:formatCode>General</c:formatCode>
                <c:ptCount val="5"/>
                <c:pt idx="0">
                  <c:v>16</c:v>
                </c:pt>
                <c:pt idx="1">
                  <c:v>23</c:v>
                </c:pt>
                <c:pt idx="2">
                  <c:v>69</c:v>
                </c:pt>
                <c:pt idx="3">
                  <c:v>67</c:v>
                </c:pt>
                <c:pt idx="4">
                  <c:v>6</c:v>
                </c:pt>
              </c:numCache>
            </c:numRef>
          </c:cat>
          <c:val>
            <c:numRef>
              <c:f>'DEFECTOS X MESA'!$AI$21:$AI$25</c:f>
              <c:numCache>
                <c:formatCode>General</c:formatCode>
                <c:ptCount val="5"/>
                <c:pt idx="0">
                  <c:v>40</c:v>
                </c:pt>
                <c:pt idx="1">
                  <c:v>38</c:v>
                </c:pt>
                <c:pt idx="2">
                  <c:v>36</c:v>
                </c:pt>
                <c:pt idx="3">
                  <c:v>35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3-4C8F-B60D-88B37C3B37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0655872"/>
        <c:axId val="40665856"/>
      </c:barChart>
      <c:catAx>
        <c:axId val="406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40665856"/>
        <c:crosses val="autoZero"/>
        <c:auto val="1"/>
        <c:lblAlgn val="ctr"/>
        <c:lblOffset val="100"/>
        <c:noMultiLvlLbl val="0"/>
      </c:catAx>
      <c:valAx>
        <c:axId val="406658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065587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RECHAZOS POR TURNO/MESA</a:t>
            </a:r>
          </a:p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1er Turno</a:t>
            </a:r>
            <a:r>
              <a:rPr lang="en-US" sz="2000" baseline="0" dirty="0">
                <a:solidFill>
                  <a:srgbClr val="FF0000"/>
                </a:solidFill>
              </a:rPr>
              <a:t>               2do Turno    </a:t>
            </a:r>
            <a:endParaRPr lang="en-US" sz="2000" dirty="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4292258519181003"/>
          <c:y val="1.72786903121683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913003890136708E-2"/>
          <c:y val="0.15578142076503496"/>
          <c:w val="0.8928019832515276"/>
          <c:h val="0.664254558130255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X MESA'!$AH$101:$AH$105,'DEFECTOS X MESA'!$AH$109:$AH$113)</c:f>
              <c:numCache>
                <c:formatCode>General</c:formatCode>
                <c:ptCount val="10"/>
                <c:pt idx="0">
                  <c:v>16</c:v>
                </c:pt>
                <c:pt idx="1">
                  <c:v>54</c:v>
                </c:pt>
                <c:pt idx="2">
                  <c:v>91</c:v>
                </c:pt>
                <c:pt idx="3">
                  <c:v>17</c:v>
                </c:pt>
                <c:pt idx="4">
                  <c:v>44</c:v>
                </c:pt>
                <c:pt idx="5">
                  <c:v>13</c:v>
                </c:pt>
                <c:pt idx="6">
                  <c:v>16</c:v>
                </c:pt>
                <c:pt idx="7">
                  <c:v>8</c:v>
                </c:pt>
                <c:pt idx="8">
                  <c:v>56</c:v>
                </c:pt>
                <c:pt idx="9">
                  <c:v>1</c:v>
                </c:pt>
              </c:numCache>
            </c:numRef>
          </c:cat>
          <c:val>
            <c:numRef>
              <c:f>('DEFECTOS X MESA'!$AI$101:$AI$105,'DEFECTOS X MESA'!$AI$109:$AI$113)</c:f>
              <c:numCache>
                <c:formatCode>General</c:formatCode>
                <c:ptCount val="10"/>
                <c:pt idx="0">
                  <c:v>130</c:v>
                </c:pt>
                <c:pt idx="1">
                  <c:v>121</c:v>
                </c:pt>
                <c:pt idx="2">
                  <c:v>117</c:v>
                </c:pt>
                <c:pt idx="3">
                  <c:v>75</c:v>
                </c:pt>
                <c:pt idx="4">
                  <c:v>71</c:v>
                </c:pt>
                <c:pt idx="5">
                  <c:v>227</c:v>
                </c:pt>
                <c:pt idx="6">
                  <c:v>183</c:v>
                </c:pt>
                <c:pt idx="7">
                  <c:v>170</c:v>
                </c:pt>
                <c:pt idx="8">
                  <c:v>169</c:v>
                </c:pt>
                <c:pt idx="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6-449F-9F93-6B5855C48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0686720"/>
        <c:axId val="40688256"/>
      </c:barChart>
      <c:catAx>
        <c:axId val="4068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40688256"/>
        <c:crosses val="autoZero"/>
        <c:auto val="1"/>
        <c:lblAlgn val="ctr"/>
        <c:lblOffset val="100"/>
        <c:noMultiLvlLbl val="0"/>
      </c:catAx>
      <c:valAx>
        <c:axId val="40688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068672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n-US" sz="2000" dirty="0">
                <a:solidFill>
                  <a:srgbClr val="FF0000"/>
                </a:solidFill>
              </a:rPr>
              <a:t>TOTAL RECHAZOS</a:t>
            </a:r>
            <a:r>
              <a:rPr lang="en-US" sz="2000" baseline="0" dirty="0">
                <a:solidFill>
                  <a:srgbClr val="FF0000"/>
                </a:solidFill>
              </a:rPr>
              <a:t> </a:t>
            </a:r>
            <a:r>
              <a:rPr lang="en-US" sz="2000" dirty="0">
                <a:solidFill>
                  <a:srgbClr val="FF0000"/>
                </a:solidFill>
              </a:rPr>
              <a:t>POR MESA</a:t>
            </a:r>
          </a:p>
        </c:rich>
      </c:tx>
      <c:layout>
        <c:manualLayout>
          <c:xMode val="edge"/>
          <c:yMode val="edge"/>
          <c:x val="0.16255576783806427"/>
          <c:y val="3.814224768910424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906726476424191E-2"/>
          <c:y val="0.19609305305097174"/>
          <c:w val="0.88189932151062611"/>
          <c:h val="0.637582300901191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lang="es-ES" sz="16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X MESA'!$AH$118:$AH$122</c:f>
              <c:numCache>
                <c:formatCode>General</c:formatCode>
                <c:ptCount val="5"/>
                <c:pt idx="0">
                  <c:v>16</c:v>
                </c:pt>
                <c:pt idx="1">
                  <c:v>13</c:v>
                </c:pt>
                <c:pt idx="2">
                  <c:v>54</c:v>
                </c:pt>
                <c:pt idx="3">
                  <c:v>91</c:v>
                </c:pt>
                <c:pt idx="4">
                  <c:v>8</c:v>
                </c:pt>
              </c:numCache>
            </c:numRef>
          </c:cat>
          <c:val>
            <c:numRef>
              <c:f>'DEFECTOS X MESA'!$AI$118:$AI$122</c:f>
              <c:numCache>
                <c:formatCode>General</c:formatCode>
                <c:ptCount val="5"/>
                <c:pt idx="0">
                  <c:v>313</c:v>
                </c:pt>
                <c:pt idx="1">
                  <c:v>274</c:v>
                </c:pt>
                <c:pt idx="2">
                  <c:v>249</c:v>
                </c:pt>
                <c:pt idx="3">
                  <c:v>220</c:v>
                </c:pt>
                <c:pt idx="4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E-4492-8436-206CE46153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0786944"/>
        <c:axId val="40801024"/>
      </c:barChart>
      <c:catAx>
        <c:axId val="4078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s-ES" sz="1400" b="1"/>
            </a:pPr>
            <a:endParaRPr lang="en-US"/>
          </a:p>
        </c:txPr>
        <c:crossAx val="40801024"/>
        <c:crosses val="autoZero"/>
        <c:auto val="1"/>
        <c:lblAlgn val="ctr"/>
        <c:lblOffset val="100"/>
        <c:noMultiLvlLbl val="0"/>
      </c:catAx>
      <c:valAx>
        <c:axId val="408010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078694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TIPO DE DEFECTOS POR TURNO 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Turno:                   2do Turno:</a:t>
            </a:r>
            <a:endParaRPr lang="en-US"/>
          </a:p>
        </c:rich>
      </c:tx>
      <c:layout>
        <c:manualLayout>
          <c:xMode val="edge"/>
          <c:yMode val="edge"/>
          <c:x val="0.11316738949569385"/>
          <c:y val="1.66589368450147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8544743010838704E-2"/>
          <c:y val="0.15578149181247172"/>
          <c:w val="0.93942968955439665"/>
          <c:h val="0.5521552639036000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('DEFECTOS COMUNES'!$G$5:$G$9,'DEFECTOS COMUNES'!$G$13:$G$17)</c:f>
              <c:strCache>
                <c:ptCount val="10"/>
                <c:pt idx="0">
                  <c:v>MAL CORTE</c:v>
                </c:pt>
                <c:pt idx="1">
                  <c:v>CICATRIZ ABIERTA</c:v>
                </c:pt>
                <c:pt idx="2">
                  <c:v>CANDADO FLOJO</c:v>
                </c:pt>
                <c:pt idx="3">
                  <c:v>MUESCAS PEGADAS</c:v>
                </c:pt>
                <c:pt idx="4">
                  <c:v>CRACK</c:v>
                </c:pt>
                <c:pt idx="5">
                  <c:v>CICATRIZ ABIERTA</c:v>
                </c:pt>
                <c:pt idx="6">
                  <c:v>SUCIAS</c:v>
                </c:pt>
                <c:pt idx="7">
                  <c:v>DEFECTO DE PINTURA</c:v>
                </c:pt>
                <c:pt idx="8">
                  <c:v>BRILLO</c:v>
                </c:pt>
                <c:pt idx="9">
                  <c:v>MAL CORTE</c:v>
                </c:pt>
              </c:strCache>
            </c:strRef>
          </c:cat>
          <c:val>
            <c:numRef>
              <c:f>('DEFECTOS COMUNES'!$H$5:$H$9,'DEFECTOS COMUNES'!$H$13:$H$17)</c:f>
              <c:numCache>
                <c:formatCode>General</c:formatCode>
                <c:ptCount val="10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46</c:v>
                </c:pt>
                <c:pt idx="6">
                  <c:v>44</c:v>
                </c:pt>
                <c:pt idx="7">
                  <c:v>25</c:v>
                </c:pt>
                <c:pt idx="8">
                  <c:v>18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9-4F10-9EA5-A3177A01E6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1081856"/>
        <c:axId val="41169664"/>
      </c:barChart>
      <c:catAx>
        <c:axId val="4108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41169664"/>
        <c:crosses val="autoZero"/>
        <c:auto val="1"/>
        <c:lblAlgn val="ctr"/>
        <c:lblOffset val="100"/>
        <c:noMultiLvlLbl val="0"/>
      </c:catAx>
      <c:valAx>
        <c:axId val="411696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108185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TIPO DE DEFECTOS DEL DIA</a:t>
            </a:r>
          </a:p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TOTAL:</a:t>
            </a:r>
          </a:p>
        </c:rich>
      </c:tx>
      <c:layout>
        <c:manualLayout>
          <c:xMode val="edge"/>
          <c:yMode val="edge"/>
          <c:x val="0.16395371609018797"/>
          <c:y val="9.8774698365642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82E-2"/>
          <c:y val="0.18153057097371017"/>
          <c:w val="0.93888888888889765"/>
          <c:h val="0.5271587998733435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'DEFECTOS COMUNES'!$G$20:$G$24</c:f>
              <c:strCache>
                <c:ptCount val="5"/>
                <c:pt idx="0">
                  <c:v>CICATRIZ ABIERTA</c:v>
                </c:pt>
                <c:pt idx="1">
                  <c:v>SUCIAS</c:v>
                </c:pt>
                <c:pt idx="2">
                  <c:v>MAL CORTE</c:v>
                </c:pt>
                <c:pt idx="3">
                  <c:v>MUESCAS PEGADAS</c:v>
                </c:pt>
                <c:pt idx="4">
                  <c:v>DEFECTO DE PINTURA</c:v>
                </c:pt>
              </c:strCache>
            </c:strRef>
          </c:cat>
          <c:val>
            <c:numRef>
              <c:f>'DEFECTOS COMUNES'!$H$20:$H$24</c:f>
              <c:numCache>
                <c:formatCode>General</c:formatCode>
                <c:ptCount val="5"/>
                <c:pt idx="0">
                  <c:v>60</c:v>
                </c:pt>
                <c:pt idx="1">
                  <c:v>52</c:v>
                </c:pt>
                <c:pt idx="2">
                  <c:v>31</c:v>
                </c:pt>
                <c:pt idx="3">
                  <c:v>26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D-41D3-A1B3-D02281A1F3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1214720"/>
        <c:axId val="41216256"/>
      </c:barChart>
      <c:catAx>
        <c:axId val="412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41216256"/>
        <c:crosses val="autoZero"/>
        <c:auto val="1"/>
        <c:lblAlgn val="ctr"/>
        <c:lblOffset val="100"/>
        <c:noMultiLvlLbl val="0"/>
      </c:catAx>
      <c:valAx>
        <c:axId val="41216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121472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TIPO DE DEFECTOS POR TURNO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Turno:                  2do Turno: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544743010838704E-2"/>
          <c:y val="0.15578149181247189"/>
          <c:w val="0.93942968955439665"/>
          <c:h val="0.5521552639036000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('DEFECTOS COMUNES'!$G$106:$G$110,'DEFECTOS COMUNES'!$G$114:$G$118)</c:f>
              <c:strCache>
                <c:ptCount val="10"/>
                <c:pt idx="0">
                  <c:v>CICATRIZ ABIERTA</c:v>
                </c:pt>
                <c:pt idx="1">
                  <c:v>DEFECTO DE PINTURA</c:v>
                </c:pt>
                <c:pt idx="2">
                  <c:v>BRILLO</c:v>
                </c:pt>
                <c:pt idx="3">
                  <c:v>MAL CORTE</c:v>
                </c:pt>
                <c:pt idx="4">
                  <c:v>GARRAPATAS</c:v>
                </c:pt>
                <c:pt idx="5">
                  <c:v>CICATRIZ ABIERTA</c:v>
                </c:pt>
                <c:pt idx="6">
                  <c:v>MAL CORTE</c:v>
                </c:pt>
                <c:pt idx="7">
                  <c:v>DEFECTO DE PINTURA</c:v>
                </c:pt>
                <c:pt idx="8">
                  <c:v>MUESCAS PEGADAS</c:v>
                </c:pt>
                <c:pt idx="9">
                  <c:v>GARRAPATAS</c:v>
                </c:pt>
              </c:strCache>
            </c:strRef>
          </c:cat>
          <c:val>
            <c:numRef>
              <c:f>('DEFECTOS COMUNES'!$H$106:$H$110,'DEFECTOS COMUNES'!$H$114:$H$118)</c:f>
              <c:numCache>
                <c:formatCode>General</c:formatCode>
                <c:ptCount val="10"/>
                <c:pt idx="0">
                  <c:v>145</c:v>
                </c:pt>
                <c:pt idx="1">
                  <c:v>132</c:v>
                </c:pt>
                <c:pt idx="2">
                  <c:v>122</c:v>
                </c:pt>
                <c:pt idx="3">
                  <c:v>87</c:v>
                </c:pt>
                <c:pt idx="4">
                  <c:v>73</c:v>
                </c:pt>
                <c:pt idx="5">
                  <c:v>429</c:v>
                </c:pt>
                <c:pt idx="6">
                  <c:v>337</c:v>
                </c:pt>
                <c:pt idx="7">
                  <c:v>258</c:v>
                </c:pt>
                <c:pt idx="8">
                  <c:v>253</c:v>
                </c:pt>
                <c:pt idx="9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7-4547-B601-73870347BB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1240832"/>
        <c:axId val="41246720"/>
      </c:barChart>
      <c:catAx>
        <c:axId val="4124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41246720"/>
        <c:crosses val="autoZero"/>
        <c:auto val="1"/>
        <c:lblAlgn val="ctr"/>
        <c:lblOffset val="100"/>
        <c:noMultiLvlLbl val="0"/>
      </c:catAx>
      <c:valAx>
        <c:axId val="412467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124083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TIPO DE DEFECTOS DEL MES</a:t>
            </a:r>
          </a:p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TOTAL:</a:t>
            </a:r>
          </a:p>
        </c:rich>
      </c:tx>
      <c:layout>
        <c:manualLayout>
          <c:xMode val="edge"/>
          <c:yMode val="edge"/>
          <c:x val="0.16395371609018797"/>
          <c:y val="9.877469836564260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82E-2"/>
          <c:y val="0.18153057097371017"/>
          <c:w val="0.93888888888889765"/>
          <c:h val="0.5271587998733435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'DEFECTOS COMUNES'!$G$121:$G$125</c:f>
              <c:strCache>
                <c:ptCount val="5"/>
                <c:pt idx="0">
                  <c:v>CICATRIZ ABIERTA</c:v>
                </c:pt>
                <c:pt idx="1">
                  <c:v>MAL CORTE</c:v>
                </c:pt>
                <c:pt idx="2">
                  <c:v>DEFECTO DE PINTURA</c:v>
                </c:pt>
                <c:pt idx="3">
                  <c:v>MUESCAS PEGADAS</c:v>
                </c:pt>
                <c:pt idx="4">
                  <c:v>GARRAPATAS</c:v>
                </c:pt>
              </c:strCache>
            </c:strRef>
          </c:cat>
          <c:val>
            <c:numRef>
              <c:f>'DEFECTOS COMUNES'!$H$121:$H$125</c:f>
              <c:numCache>
                <c:formatCode>General</c:formatCode>
                <c:ptCount val="5"/>
                <c:pt idx="0">
                  <c:v>574</c:v>
                </c:pt>
                <c:pt idx="1">
                  <c:v>424</c:v>
                </c:pt>
                <c:pt idx="2">
                  <c:v>390</c:v>
                </c:pt>
                <c:pt idx="3">
                  <c:v>312</c:v>
                </c:pt>
                <c:pt idx="4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C-42E1-A0F7-755DCC13A3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1271296"/>
        <c:axId val="41272832"/>
      </c:barChart>
      <c:catAx>
        <c:axId val="412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41272832"/>
        <c:crosses val="autoZero"/>
        <c:auto val="1"/>
        <c:lblAlgn val="ctr"/>
        <c:lblOffset val="100"/>
        <c:noMultiLvlLbl val="0"/>
      </c:catAx>
      <c:valAx>
        <c:axId val="412728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127129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DEFECTOS NATURALES POR LOTE 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Turno:                   2do Turno:</a:t>
            </a:r>
            <a:endParaRPr lang="en-US"/>
          </a:p>
        </c:rich>
      </c:tx>
      <c:layout>
        <c:manualLayout>
          <c:xMode val="edge"/>
          <c:yMode val="edge"/>
          <c:x val="0.11316738949569385"/>
          <c:y val="1.66589368450147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8544743010838704E-2"/>
          <c:y val="0.15578149181247189"/>
          <c:w val="0.93942968955439665"/>
          <c:h val="0.65924847394581898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DE PIEL X LOTE'!$G$5:$G$9,'DEFECTOS DE PIEL X LOTE'!$G$13:$G$17)</c:f>
              <c:numCache>
                <c:formatCode>General</c:formatCode>
                <c:ptCount val="10"/>
              </c:numCache>
            </c:numRef>
          </c:cat>
          <c:val>
            <c:numRef>
              <c:f>('DEFECTOS DE PIEL X LOTE'!$J$5:$J$9,'DEFECTOS DE PIEL X LOTE'!$J$13:$J$17)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5037-42AF-AE08-227E1D300F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1511936"/>
        <c:axId val="41526016"/>
      </c:barChart>
      <c:catAx>
        <c:axId val="4151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41526016"/>
        <c:crosses val="autoZero"/>
        <c:auto val="1"/>
        <c:lblAlgn val="ctr"/>
        <c:lblOffset val="100"/>
        <c:noMultiLvlLbl val="0"/>
      </c:catAx>
      <c:valAx>
        <c:axId val="4152601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151193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DE DEFECTOS NATURALES DEL DIA POR LOTE:</a:t>
            </a:r>
          </a:p>
        </c:rich>
      </c:tx>
      <c:layout>
        <c:manualLayout>
          <c:xMode val="edge"/>
          <c:yMode val="edge"/>
          <c:x val="0.16395371609018797"/>
          <c:y val="9.877469836564260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82E-2"/>
          <c:y val="0.18153057097371017"/>
          <c:w val="0.93888888888889765"/>
          <c:h val="0.63439614313396819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DE PIEL X LOTE'!$G$20:$G$24</c:f>
              <c:numCache>
                <c:formatCode>General</c:formatCode>
                <c:ptCount val="5"/>
              </c:numCache>
            </c:numRef>
          </c:cat>
          <c:val>
            <c:numRef>
              <c:f>'DEFECTOS DE PIEL X LOTE'!$J$20:$J$24</c:f>
              <c:numCache>
                <c:formatCode>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6F4B-4416-83A6-E0BE3F7C53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1558784"/>
        <c:axId val="41560320"/>
      </c:barChart>
      <c:catAx>
        <c:axId val="4155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41560320"/>
        <c:crosses val="autoZero"/>
        <c:auto val="1"/>
        <c:lblAlgn val="ctr"/>
        <c:lblOffset val="100"/>
        <c:noMultiLvlLbl val="0"/>
      </c:catAx>
      <c:valAx>
        <c:axId val="4156032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155878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DEFECTOS NATURALES POR LOTE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Turno:                  2do Turno: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544743010838704E-2"/>
          <c:y val="0.15578149181247206"/>
          <c:w val="0.93942968955439665"/>
          <c:h val="0.5521552639036000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DE PIEL X LOTE'!$G$106:$G$110,'DEFECTOS DE PIEL X LOTE'!$G$114:$G$118)</c:f>
              <c:numCache>
                <c:formatCode>General</c:formatCode>
                <c:ptCount val="10"/>
              </c:numCache>
            </c:numRef>
          </c:cat>
          <c:val>
            <c:numRef>
              <c:f>('DEFECTOS DE PIEL X LOTE'!$J$106:$J$110,'DEFECTOS DE PIEL X LOTE'!$J$114:$J$118)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6BD6-4F09-A311-CD10C6B5F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1568512"/>
        <c:axId val="41689088"/>
      </c:barChart>
      <c:catAx>
        <c:axId val="4156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41689088"/>
        <c:crosses val="autoZero"/>
        <c:auto val="1"/>
        <c:lblAlgn val="ctr"/>
        <c:lblOffset val="100"/>
        <c:noMultiLvlLbl val="0"/>
      </c:catAx>
      <c:valAx>
        <c:axId val="4168908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156851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DE DEFECTOS NATURALES DEL MES:</a:t>
            </a:r>
          </a:p>
        </c:rich>
      </c:tx>
      <c:layout>
        <c:manualLayout>
          <c:xMode val="edge"/>
          <c:yMode val="edge"/>
          <c:x val="0.16395371609018797"/>
          <c:y val="9.877469836564270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82E-2"/>
          <c:y val="0.18153057097371017"/>
          <c:w val="0.93888888888889765"/>
          <c:h val="0.52715879987334358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DE PIEL X LOTE'!$G$121:$G$125</c:f>
              <c:numCache>
                <c:formatCode>General</c:formatCode>
                <c:ptCount val="5"/>
              </c:numCache>
            </c:numRef>
          </c:cat>
          <c:val>
            <c:numRef>
              <c:f>'DEFECTOS DE PIEL X LOTE'!$J$121:$J$125</c:f>
              <c:numCache>
                <c:formatCode>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1769-4F0F-A924-6EAE109555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41705472"/>
        <c:axId val="41707008"/>
      </c:barChart>
      <c:catAx>
        <c:axId val="4170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41707008"/>
        <c:crosses val="autoZero"/>
        <c:auto val="1"/>
        <c:lblAlgn val="ctr"/>
        <c:lblOffset val="100"/>
        <c:noMultiLvlLbl val="0"/>
      </c:catAx>
      <c:valAx>
        <c:axId val="4170700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170547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TIPO DE DEFECTOS POR LOTE 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                   2do Turno</a:t>
            </a:r>
            <a:endParaRPr lang="en-US"/>
          </a:p>
        </c:rich>
      </c:tx>
      <c:layout>
        <c:manualLayout>
          <c:xMode val="edge"/>
          <c:yMode val="edge"/>
          <c:x val="0.11316738949569385"/>
          <c:y val="1.66589368450147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8544743010838704E-2"/>
          <c:y val="0.15578149181247206"/>
          <c:w val="0.93942968955439665"/>
          <c:h val="0.65924847394581942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DE PIEL X LOTE'!$AB$5:$AB$9,'DEFECTOS DE PIEL X LOTE'!$AB$13:$AB$17)</c:f>
              <c:numCache>
                <c:formatCode>General</c:formatCode>
                <c:ptCount val="10"/>
              </c:numCache>
            </c:numRef>
          </c:cat>
          <c:val>
            <c:numRef>
              <c:f>('DEFECTOS DE PIEL X LOTE'!$AC$5:$AC$9,'DEFECTOS DE PIEL X LOTE'!$AC$13:$AC$17)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77E7-4B9C-ADD9-89F0BD9F5F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6687232"/>
        <c:axId val="76688768"/>
      </c:barChart>
      <c:catAx>
        <c:axId val="7668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6688768"/>
        <c:crosses val="autoZero"/>
        <c:auto val="1"/>
        <c:lblAlgn val="ctr"/>
        <c:lblOffset val="100"/>
        <c:noMultiLvlLbl val="0"/>
      </c:catAx>
      <c:valAx>
        <c:axId val="766887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668723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TIPO DE DEFECTOS DEL DIA POR LOTE  TOTAL</a:t>
            </a:r>
          </a:p>
        </c:rich>
      </c:tx>
      <c:layout>
        <c:manualLayout>
          <c:xMode val="edge"/>
          <c:yMode val="edge"/>
          <c:x val="0.16395371609018797"/>
          <c:y val="9.877469836564270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82E-2"/>
          <c:y val="0.18153057097371017"/>
          <c:w val="0.93888888888889765"/>
          <c:h val="0.63439614313396819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DE PIEL X LOTE'!$AB$20:$AB$24</c:f>
              <c:numCache>
                <c:formatCode>General</c:formatCode>
                <c:ptCount val="5"/>
              </c:numCache>
            </c:numRef>
          </c:cat>
          <c:val>
            <c:numRef>
              <c:f>'DEFECTOS DE PIEL X LOTE'!$AC$20:$AC$24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84CE-46CB-92DE-D1F09DCC48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6718080"/>
        <c:axId val="76719616"/>
      </c:barChart>
      <c:catAx>
        <c:axId val="7671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6719616"/>
        <c:crosses val="autoZero"/>
        <c:auto val="1"/>
        <c:lblAlgn val="ctr"/>
        <c:lblOffset val="100"/>
        <c:noMultiLvlLbl val="0"/>
      </c:catAx>
      <c:valAx>
        <c:axId val="767196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671808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TIPO DE DEFECTOS POR LOTE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                  2do Turno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544743010838704E-2"/>
          <c:y val="0.15578149181247222"/>
          <c:w val="0.93942968955439665"/>
          <c:h val="0.5521552639036000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DE PIEL X LOTE'!$AB$106:$AB$110,'DEFECTOS DE PIEL X LOTE'!$AB$114:$AB$118)</c:f>
              <c:numCache>
                <c:formatCode>General</c:formatCode>
                <c:ptCount val="10"/>
              </c:numCache>
            </c:numRef>
          </c:cat>
          <c:val>
            <c:numRef>
              <c:f>('DEFECTOS DE PIEL X LOTE'!$AC$106:$AC$110,'DEFECTOS DE PIEL X LOTE'!$AC$114:$AC$118)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1BDC-45C0-A635-94B964A559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6948992"/>
        <c:axId val="76950528"/>
      </c:barChart>
      <c:catAx>
        <c:axId val="7694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6950528"/>
        <c:crosses val="autoZero"/>
        <c:auto val="1"/>
        <c:lblAlgn val="ctr"/>
        <c:lblOffset val="100"/>
        <c:noMultiLvlLbl val="0"/>
      </c:catAx>
      <c:valAx>
        <c:axId val="769505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694899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TIPO DE DEFECTOS DEL MES</a:t>
            </a:r>
          </a:p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</a:t>
            </a:r>
          </a:p>
        </c:rich>
      </c:tx>
      <c:layout>
        <c:manualLayout>
          <c:xMode val="edge"/>
          <c:yMode val="edge"/>
          <c:x val="0.16395371609018797"/>
          <c:y val="9.877469836564279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82E-2"/>
          <c:y val="0.18153057097371017"/>
          <c:w val="0.93888888888889765"/>
          <c:h val="0.52715879987334358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DE PIEL X LOTE'!$AB$121:$AB$125</c:f>
              <c:numCache>
                <c:formatCode>General</c:formatCode>
                <c:ptCount val="5"/>
              </c:numCache>
            </c:numRef>
          </c:cat>
          <c:val>
            <c:numRef>
              <c:f>'DEFECTOS DE PIEL X LOTE'!$AC$121:$AC$125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B27-4CBD-9B08-22B01BF613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6958720"/>
        <c:axId val="76976896"/>
      </c:barChart>
      <c:catAx>
        <c:axId val="7695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6976896"/>
        <c:crosses val="autoZero"/>
        <c:auto val="1"/>
        <c:lblAlgn val="ctr"/>
        <c:lblOffset val="100"/>
        <c:noMultiLvlLbl val="0"/>
      </c:catAx>
      <c:valAx>
        <c:axId val="76976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695872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TIPO DE DEFECTOS POR LOTE 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Turno:                   2do Turno:</a:t>
            </a:r>
            <a:endParaRPr lang="en-US"/>
          </a:p>
        </c:rich>
      </c:tx>
      <c:layout>
        <c:manualLayout>
          <c:xMode val="edge"/>
          <c:yMode val="edge"/>
          <c:x val="0.11316738949569385"/>
          <c:y val="1.66589368450147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8544743010838704E-2"/>
          <c:y val="0.15578149181247206"/>
          <c:w val="0.93942968955439665"/>
          <c:h val="0.6703241938884566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TOTALES X LOTE'!$G$5:$G$9,'DEFECTOS TOTALES X LOTE'!$G$13:$G$17)</c:f>
              <c:numCache>
                <c:formatCode>General</c:formatCode>
                <c:ptCount val="10"/>
              </c:numCache>
            </c:numRef>
          </c:cat>
          <c:val>
            <c:numRef>
              <c:f>('DEFECTOS TOTALES X LOTE'!$J$5:$J$9,'DEFECTOS TOTALES X LOTE'!$J$13:$J$17)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F1C5-405C-ACAD-E33898AB44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8692352"/>
        <c:axId val="78693888"/>
      </c:barChart>
      <c:catAx>
        <c:axId val="786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8693888"/>
        <c:crosses val="autoZero"/>
        <c:auto val="1"/>
        <c:lblAlgn val="ctr"/>
        <c:lblOffset val="100"/>
        <c:noMultiLvlLbl val="0"/>
      </c:catAx>
      <c:valAx>
        <c:axId val="7869388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7869235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TIPO DE DEFECTOS DEL DIA POR LOTE  TOTAL:</a:t>
            </a:r>
          </a:p>
        </c:rich>
      </c:tx>
      <c:layout>
        <c:manualLayout>
          <c:xMode val="edge"/>
          <c:yMode val="edge"/>
          <c:x val="0.16395371609018797"/>
          <c:y val="9.877469836564270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82E-2"/>
          <c:y val="0.18153057097371017"/>
          <c:w val="0.93888888888889765"/>
          <c:h val="0.6454856085715589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TOTALES X LOTE'!$G$20:$G$24</c:f>
              <c:numCache>
                <c:formatCode>General</c:formatCode>
                <c:ptCount val="5"/>
              </c:numCache>
            </c:numRef>
          </c:cat>
          <c:val>
            <c:numRef>
              <c:f>'DEFECTOS TOTALES X LOTE'!$J$20:$J$24</c:f>
              <c:numCache>
                <c:formatCode>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5D0E-4D86-852B-CACC833CE2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8726656"/>
        <c:axId val="78728192"/>
      </c:barChart>
      <c:catAx>
        <c:axId val="7872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8728192"/>
        <c:crosses val="autoZero"/>
        <c:auto val="1"/>
        <c:lblAlgn val="ctr"/>
        <c:lblOffset val="100"/>
        <c:noMultiLvlLbl val="0"/>
      </c:catAx>
      <c:valAx>
        <c:axId val="7872819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7872665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TIPO DE DEFECTOS POR LOTE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Turno:                  2do Turno: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6439131750301612E-2"/>
          <c:y val="0.15578149181247222"/>
          <c:w val="0.94153531150136549"/>
          <c:h val="0.68214107796408219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TOTALES X LOTE'!$G$106:$G$110,'DEFECTOS TOTALES X LOTE'!$G$114:$G$118)</c:f>
              <c:numCache>
                <c:formatCode>General</c:formatCode>
                <c:ptCount val="10"/>
              </c:numCache>
            </c:numRef>
          </c:cat>
          <c:val>
            <c:numRef>
              <c:f>('DEFECTOS TOTALES X LOTE'!$J$106:$J$110,'DEFECTOS TOTALES X LOTE'!$J$114:$J$118)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DAE3-4458-811D-52C2086C69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8740480"/>
        <c:axId val="78750464"/>
      </c:barChart>
      <c:catAx>
        <c:axId val="7874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8750464"/>
        <c:crosses val="autoZero"/>
        <c:auto val="1"/>
        <c:lblAlgn val="ctr"/>
        <c:lblOffset val="100"/>
        <c:noMultiLvlLbl val="0"/>
      </c:catAx>
      <c:valAx>
        <c:axId val="78750464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7874048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TIPO DE DEFECTOS DEL MES</a:t>
            </a:r>
          </a:p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TOTAL:</a:t>
            </a:r>
          </a:p>
        </c:rich>
      </c:tx>
      <c:layout>
        <c:manualLayout>
          <c:xMode val="edge"/>
          <c:yMode val="edge"/>
          <c:x val="0.16395371609018797"/>
          <c:y val="9.877469836564279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1683561864038732E-2"/>
          <c:y val="0.18153057097371017"/>
          <c:w val="0.91776076300703457"/>
          <c:h val="0.65968482582573063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TOTALES X LOTE'!$G$121:$G$125</c:f>
              <c:numCache>
                <c:formatCode>General</c:formatCode>
                <c:ptCount val="5"/>
              </c:numCache>
            </c:numRef>
          </c:cat>
          <c:val>
            <c:numRef>
              <c:f>'DEFECTOS TOTALES X LOTE'!$J$121:$J$125</c:f>
              <c:numCache>
                <c:formatCode>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50CA-416D-807C-425FF5020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8852864"/>
        <c:axId val="78854400"/>
      </c:barChart>
      <c:catAx>
        <c:axId val="7885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8854400"/>
        <c:crosses val="autoZero"/>
        <c:auto val="1"/>
        <c:lblAlgn val="ctr"/>
        <c:lblOffset val="100"/>
        <c:noMultiLvlLbl val="0"/>
      </c:catAx>
      <c:valAx>
        <c:axId val="7885440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7885286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TIPO DE DEFECTOS POR LOTE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                  2do Turno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6439131750301612E-2"/>
          <c:y val="0.15578149181247239"/>
          <c:w val="0.94153531150136549"/>
          <c:h val="0.68214107796408263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TOTALES X LOTE'!$AB$106:$AB$110,'DEFECTOS TOTALES X LOTE'!$AB$114:$AB$118)</c:f>
              <c:numCache>
                <c:formatCode>General</c:formatCode>
                <c:ptCount val="10"/>
              </c:numCache>
            </c:numRef>
          </c:cat>
          <c:val>
            <c:numRef>
              <c:f>('DEFECTOS TOTALES X LOTE'!$AC$106:$AC$110,'DEFECTOS TOTALES X LOTE'!$AC$114:$AC$118)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D8A-4FA0-8944-DD805CA522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8977664"/>
        <c:axId val="78999936"/>
      </c:barChart>
      <c:catAx>
        <c:axId val="7897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8999936"/>
        <c:crosses val="autoZero"/>
        <c:auto val="1"/>
        <c:lblAlgn val="ctr"/>
        <c:lblOffset val="100"/>
        <c:noMultiLvlLbl val="0"/>
      </c:catAx>
      <c:valAx>
        <c:axId val="78999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8977664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TIPO DE DEFECTOS DEL MES</a:t>
            </a:r>
          </a:p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</a:t>
            </a:r>
          </a:p>
        </c:rich>
      </c:tx>
      <c:layout>
        <c:manualLayout>
          <c:xMode val="edge"/>
          <c:yMode val="edge"/>
          <c:x val="0.16395371609018797"/>
          <c:y val="9.877469836564289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1683561864038732E-2"/>
          <c:y val="0.18153057097371017"/>
          <c:w val="0.91776076300703457"/>
          <c:h val="0.65968482582573063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TOTALES X LOTE'!$AB$121:$AB$125</c:f>
              <c:numCache>
                <c:formatCode>General</c:formatCode>
                <c:ptCount val="5"/>
              </c:numCache>
            </c:numRef>
          </c:cat>
          <c:val>
            <c:numRef>
              <c:f>'DEFECTOS TOTALES X LOTE'!$AC$121:$AC$125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6DA-466B-9665-90566CAC52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9028992"/>
        <c:axId val="79030528"/>
      </c:barChart>
      <c:catAx>
        <c:axId val="7902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9030528"/>
        <c:crosses val="autoZero"/>
        <c:auto val="1"/>
        <c:lblAlgn val="ctr"/>
        <c:lblOffset val="100"/>
        <c:noMultiLvlLbl val="0"/>
      </c:catAx>
      <c:valAx>
        <c:axId val="790305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9028992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TOTAL TIPO DE DEFECTOS POR LOTE</a:t>
            </a:r>
          </a:p>
          <a:p>
            <a:pPr>
              <a:defRPr/>
            </a:pPr>
            <a:r>
              <a:rPr lang="en-US" sz="1800" b="1" i="0" u="none" strike="noStrike" kern="1200" cap="none" spc="0" baseline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  <a:latin typeface="+mn-lt"/>
                <a:ea typeface="+mn-ea"/>
                <a:cs typeface="+mn-cs"/>
              </a:rPr>
              <a:t>1er Turno                  2do Turno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6439131750301612E-2"/>
          <c:y val="0.15578149181247239"/>
          <c:w val="0.94153531150136549"/>
          <c:h val="0.68214107796408263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('DEFECTOS TOTALES X LOTE'!$AB$5:$AB$9,'DEFECTOS TOTALES X LOTE'!$AB$13:$AB$17)</c:f>
              <c:numCache>
                <c:formatCode>General</c:formatCode>
                <c:ptCount val="10"/>
              </c:numCache>
            </c:numRef>
          </c:cat>
          <c:val>
            <c:numRef>
              <c:f>('DEFECTOS TOTALES X LOTE'!$AC$5:$AC$9,'DEFECTOS TOTALES X LOTE'!$AC$13:$AC$17)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1C6E-41C4-B6D3-E3C6A2F76D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9132928"/>
        <c:axId val="79142912"/>
      </c:barChart>
      <c:catAx>
        <c:axId val="7913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9142912"/>
        <c:crosses val="autoZero"/>
        <c:auto val="1"/>
        <c:lblAlgn val="ctr"/>
        <c:lblOffset val="100"/>
        <c:noMultiLvlLbl val="0"/>
      </c:catAx>
      <c:valAx>
        <c:axId val="791429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9132928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 TIPO DE DEFECTOS DEL MES</a:t>
            </a:r>
          </a:p>
          <a:p>
            <a:pPr>
              <a:defRPr lang="en-US"/>
            </a:pPr>
            <a:r>
              <a:rPr lang="en-US" sz="1800" b="1" cap="none" spc="0">
                <a:ln w="18000">
                  <a:solidFill>
                    <a:schemeClr val="accent2">
                      <a:satMod val="140000"/>
                    </a:schemeClr>
                  </a:solidFill>
                  <a:prstDash val="solid"/>
                  <a:miter lim="800000"/>
                </a:ln>
                <a:solidFill>
                  <a:srgbClr val="FF0000"/>
                </a:solidFill>
                <a:effectLst>
                  <a:outerShdw blurRad="25500" dist="23000" dir="7020000" algn="tl">
                    <a:srgbClr val="000000">
                      <a:alpha val="50000"/>
                    </a:srgbClr>
                  </a:outerShdw>
                </a:effectLst>
              </a:rPr>
              <a:t>TOTAL</a:t>
            </a:r>
          </a:p>
        </c:rich>
      </c:tx>
      <c:layout>
        <c:manualLayout>
          <c:xMode val="edge"/>
          <c:yMode val="edge"/>
          <c:x val="0.16395371609018797"/>
          <c:y val="9.877469836564289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1683561864038732E-2"/>
          <c:y val="0.18153057097371017"/>
          <c:w val="0.91776076300703457"/>
          <c:h val="0.65968482582573063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2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'DEFECTOS TOTALES X LOTE'!$AB$20:$AB$24</c:f>
              <c:numCache>
                <c:formatCode>General</c:formatCode>
                <c:ptCount val="5"/>
              </c:numCache>
            </c:numRef>
          </c:cat>
          <c:val>
            <c:numRef>
              <c:f>'DEFECTOS TOTALES X LOTE'!$AC$20:$AC$24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506E-43BA-B169-23D434E161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9159296"/>
        <c:axId val="79160832"/>
      </c:barChart>
      <c:catAx>
        <c:axId val="791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lang="en-US"/>
            </a:pPr>
            <a:endParaRPr lang="en-US"/>
          </a:p>
        </c:txPr>
        <c:crossAx val="79160832"/>
        <c:crosses val="autoZero"/>
        <c:auto val="1"/>
        <c:lblAlgn val="ctr"/>
        <c:lblOffset val="100"/>
        <c:noMultiLvlLbl val="0"/>
      </c:catAx>
      <c:valAx>
        <c:axId val="791608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915929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17736</xdr:colOff>
      <xdr:row>1</xdr:row>
      <xdr:rowOff>11205</xdr:rowOff>
    </xdr:from>
    <xdr:to>
      <xdr:col>21</xdr:col>
      <xdr:colOff>593911</xdr:colOff>
      <xdr:row>37</xdr:row>
      <xdr:rowOff>168087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12250</xdr:colOff>
      <xdr:row>39</xdr:row>
      <xdr:rowOff>7513</xdr:rowOff>
    </xdr:from>
    <xdr:to>
      <xdr:col>21</xdr:col>
      <xdr:colOff>593911</xdr:colOff>
      <xdr:row>75</xdr:row>
      <xdr:rowOff>163377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0.00203</cdr:x>
      <cdr:y>0.00389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BAF69411-16D1-4CCE-B40C-C057C5E8ED3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</cdr:x>
      <cdr:y>0</cdr:y>
    </cdr:from>
    <cdr:to>
      <cdr:x>0.00181</cdr:x>
      <cdr:y>0.00344</cdr:y>
    </cdr:to>
    <cdr:pic>
      <cdr:nvPicPr>
        <cdr:cNvPr id="10" name="chart">
          <a:extLst xmlns:a="http://schemas.openxmlformats.org/drawingml/2006/main">
            <a:ext uri="{FF2B5EF4-FFF2-40B4-BE49-F238E27FC236}">
              <a16:creationId xmlns:a16="http://schemas.microsoft.com/office/drawing/2014/main" id="{EB9D56ED-B6E5-4901-BF95-3B44750E86F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</cdr:x>
      <cdr:y>0</cdr:y>
    </cdr:from>
    <cdr:to>
      <cdr:x>0.00203</cdr:x>
      <cdr:y>0.00389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60297C07-2FDF-4624-A01D-1AF172170D7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</cdr:x>
      <cdr:y>0</cdr:y>
    </cdr:from>
    <cdr:to>
      <cdr:x>0.00181</cdr:x>
      <cdr:y>0.00344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B635D7E7-6F18-4073-955C-2D5C33F490C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</cdr:x>
      <cdr:y>0</cdr:y>
    </cdr:from>
    <cdr:to>
      <cdr:x>0.00203</cdr:x>
      <cdr:y>0.00389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7FAE81F1-290D-426E-A843-B729E9936F4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</cdr:x>
      <cdr:y>0</cdr:y>
    </cdr:from>
    <cdr:to>
      <cdr:x>0.00181</cdr:x>
      <cdr:y>0.00344</cdr:y>
    </cdr:to>
    <cdr:pic>
      <cdr:nvPicPr>
        <cdr:cNvPr id="15" name="chart">
          <a:extLst xmlns:a="http://schemas.openxmlformats.org/drawingml/2006/main">
            <a:ext uri="{FF2B5EF4-FFF2-40B4-BE49-F238E27FC236}">
              <a16:creationId xmlns:a16="http://schemas.microsoft.com/office/drawing/2014/main" id="{1F1C1AC6-1E65-4559-AB87-255FDEDB43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539750</xdr:colOff>
      <xdr:row>5511</xdr:row>
      <xdr:rowOff>190500</xdr:rowOff>
    </xdr:from>
    <xdr:to>
      <xdr:col>22</xdr:col>
      <xdr:colOff>201083</xdr:colOff>
      <xdr:row>5526</xdr:row>
      <xdr:rowOff>122464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207697</xdr:colOff>
      <xdr:row>5493</xdr:row>
      <xdr:rowOff>359834</xdr:rowOff>
    </xdr:from>
    <xdr:to>
      <xdr:col>22</xdr:col>
      <xdr:colOff>302946</xdr:colOff>
      <xdr:row>5509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27214</xdr:colOff>
      <xdr:row>4251</xdr:row>
      <xdr:rowOff>40822</xdr:rowOff>
    </xdr:from>
    <xdr:to>
      <xdr:col>22</xdr:col>
      <xdr:colOff>340177</xdr:colOff>
      <xdr:row>4267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27214</xdr:colOff>
      <xdr:row>4271</xdr:row>
      <xdr:rowOff>4081</xdr:rowOff>
    </xdr:from>
    <xdr:to>
      <xdr:col>22</xdr:col>
      <xdr:colOff>449036</xdr:colOff>
      <xdr:row>4289</xdr:row>
      <xdr:rowOff>40820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10009414" y="798068452"/>
          <a:ext cx="4395108" cy="3367768"/>
          <a:chOff x="8518071" y="24166285"/>
          <a:chExt cx="4708072" cy="371475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aphicFramePr/>
        </xdr:nvGraphicFramePr>
        <xdr:xfrm>
          <a:off x="8518071" y="24166285"/>
          <a:ext cx="4708072" cy="3714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9987644" y="27432001"/>
            <a:ext cx="1891393" cy="2721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TOTAL</a:t>
            </a:r>
            <a:r>
              <a:rPr lang="en-US" sz="1100" b="1" baseline="0"/>
              <a:t> DE DEFECTOS:2737</a:t>
            </a:r>
            <a:endParaRPr lang="en-US" sz="1100" b="1"/>
          </a:p>
        </xdr:txBody>
      </xdr:sp>
    </xdr:grpSp>
    <xdr:clientData/>
  </xdr:twoCellAnchor>
  <xdr:twoCellAnchor>
    <xdr:from>
      <xdr:col>15</xdr:col>
      <xdr:colOff>390893</xdr:colOff>
      <xdr:row>4231</xdr:row>
      <xdr:rowOff>155862</xdr:rowOff>
    </xdr:from>
    <xdr:to>
      <xdr:col>24</xdr:col>
      <xdr:colOff>231321</xdr:colOff>
      <xdr:row>4247</xdr:row>
      <xdr:rowOff>122465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10373093" y="790817948"/>
          <a:ext cx="5054685" cy="2927517"/>
          <a:chOff x="8810531" y="15538724"/>
          <a:chExt cx="4957948" cy="3234792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aphicFramePr/>
        </xdr:nvGraphicFramePr>
        <xdr:xfrm>
          <a:off x="8810531" y="15538724"/>
          <a:ext cx="4957948" cy="32347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10445337" y="18372118"/>
            <a:ext cx="1832017" cy="223900"/>
          </a:xfrm>
          <a:prstGeom prst="rect">
            <a:avLst/>
          </a:prstGeom>
          <a:ln>
            <a:noFill/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TOTAL</a:t>
            </a:r>
            <a:r>
              <a:rPr lang="en-US" sz="1100" b="1" baseline="0"/>
              <a:t> DE DEFECTOS: 35</a:t>
            </a:r>
            <a:endParaRPr lang="en-US" sz="1100" b="1"/>
          </a:p>
        </xdr:txBody>
      </xdr:sp>
    </xdr:grpSp>
    <xdr:clientData/>
  </xdr:twoCellAnchor>
  <xdr:twoCellAnchor>
    <xdr:from>
      <xdr:col>15</xdr:col>
      <xdr:colOff>421821</xdr:colOff>
      <xdr:row>4208</xdr:row>
      <xdr:rowOff>55790</xdr:rowOff>
    </xdr:from>
    <xdr:to>
      <xdr:col>24</xdr:col>
      <xdr:colOff>0</xdr:colOff>
      <xdr:row>4230</xdr:row>
      <xdr:rowOff>81644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0404021" y="786461561"/>
          <a:ext cx="4792436" cy="4097112"/>
          <a:chOff x="8824585" y="10615161"/>
          <a:chExt cx="5039591" cy="4600451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GraphicFramePr/>
        </xdr:nvGraphicFramePr>
        <xdr:xfrm>
          <a:off x="8824585" y="10615161"/>
          <a:ext cx="5039591" cy="46004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9417379" y="14830509"/>
            <a:ext cx="1545030" cy="282041"/>
          </a:xfrm>
          <a:prstGeom prst="rect">
            <a:avLst/>
          </a:prstGeom>
          <a:noFill/>
          <a:ln w="1905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TOTAL</a:t>
            </a:r>
            <a:r>
              <a:rPr lang="en-US" sz="1100" b="1" baseline="0"/>
              <a:t> DEFECTO:9</a:t>
            </a:r>
            <a:endParaRPr lang="en-US" sz="1100" b="1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1828714" y="14861012"/>
            <a:ext cx="1550843" cy="2840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100" b="1"/>
              <a:t>TOTAL DE DEFECTOS:</a:t>
            </a:r>
            <a:r>
              <a:rPr lang="en-US" sz="1100" b="1" baseline="0"/>
              <a:t>26</a:t>
            </a:r>
            <a:endParaRPr lang="en-US" sz="1100" b="1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9226880" y="10791702"/>
            <a:ext cx="1035380" cy="2486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1ER TURNO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2450784" y="10780816"/>
            <a:ext cx="1035379" cy="2486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 b="1"/>
              <a:t>2DO TURNO</a:t>
            </a:r>
          </a:p>
        </xdr:txBody>
      </xdr:sp>
    </xdr:grpSp>
    <xdr:clientData/>
  </xdr:twoCellAnchor>
  <xdr:twoCellAnchor>
    <xdr:from>
      <xdr:col>16</xdr:col>
      <xdr:colOff>489856</xdr:colOff>
      <xdr:row>3175</xdr:row>
      <xdr:rowOff>122465</xdr:rowOff>
    </xdr:from>
    <xdr:to>
      <xdr:col>25</xdr:col>
      <xdr:colOff>40822</xdr:colOff>
      <xdr:row>3199</xdr:row>
      <xdr:rowOff>81644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54430</xdr:colOff>
      <xdr:row>3202</xdr:row>
      <xdr:rowOff>13606</xdr:rowOff>
    </xdr:from>
    <xdr:to>
      <xdr:col>24</xdr:col>
      <xdr:colOff>530680</xdr:colOff>
      <xdr:row>3218</xdr:row>
      <xdr:rowOff>54428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13606</xdr:colOff>
      <xdr:row>2192</xdr:row>
      <xdr:rowOff>40821</xdr:rowOff>
    </xdr:from>
    <xdr:to>
      <xdr:col>22</xdr:col>
      <xdr:colOff>27214</xdr:colOff>
      <xdr:row>2215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2215</xdr:row>
      <xdr:rowOff>40822</xdr:rowOff>
    </xdr:from>
    <xdr:to>
      <xdr:col>22</xdr:col>
      <xdr:colOff>54430</xdr:colOff>
      <xdr:row>2240</xdr:row>
      <xdr:rowOff>13607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530678</xdr:colOff>
      <xdr:row>1350</xdr:row>
      <xdr:rowOff>136070</xdr:rowOff>
    </xdr:from>
    <xdr:to>
      <xdr:col>23</xdr:col>
      <xdr:colOff>258535</xdr:colOff>
      <xdr:row>1366</xdr:row>
      <xdr:rowOff>40821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367394</xdr:colOff>
      <xdr:row>1601</xdr:row>
      <xdr:rowOff>149678</xdr:rowOff>
    </xdr:from>
    <xdr:to>
      <xdr:col>23</xdr:col>
      <xdr:colOff>40822</xdr:colOff>
      <xdr:row>1619</xdr:row>
      <xdr:rowOff>176892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</xdr:colOff>
      <xdr:row>2147</xdr:row>
      <xdr:rowOff>27214</xdr:rowOff>
    </xdr:from>
    <xdr:to>
      <xdr:col>22</xdr:col>
      <xdr:colOff>0</xdr:colOff>
      <xdr:row>2170</xdr:row>
      <xdr:rowOff>81642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612320</xdr:colOff>
      <xdr:row>2170</xdr:row>
      <xdr:rowOff>122466</xdr:rowOff>
    </xdr:from>
    <xdr:to>
      <xdr:col>21</xdr:col>
      <xdr:colOff>585107</xdr:colOff>
      <xdr:row>2187</xdr:row>
      <xdr:rowOff>122465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244928</xdr:colOff>
      <xdr:row>1065</xdr:row>
      <xdr:rowOff>462643</xdr:rowOff>
    </xdr:from>
    <xdr:to>
      <xdr:col>21</xdr:col>
      <xdr:colOff>571499</xdr:colOff>
      <xdr:row>1093</xdr:row>
      <xdr:rowOff>176893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571500</xdr:colOff>
      <xdr:row>1065</xdr:row>
      <xdr:rowOff>462643</xdr:rowOff>
    </xdr:from>
    <xdr:to>
      <xdr:col>29</xdr:col>
      <xdr:colOff>244929</xdr:colOff>
      <xdr:row>1093</xdr:row>
      <xdr:rowOff>176893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176893</xdr:colOff>
      <xdr:row>1</xdr:row>
      <xdr:rowOff>183014</xdr:rowOff>
    </xdr:from>
    <xdr:to>
      <xdr:col>24</xdr:col>
      <xdr:colOff>517073</xdr:colOff>
      <xdr:row>26</xdr:row>
      <xdr:rowOff>122464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oneCellAnchor>
    <xdr:from>
      <xdr:col>20</xdr:col>
      <xdr:colOff>244929</xdr:colOff>
      <xdr:row>2</xdr:row>
      <xdr:rowOff>272141</xdr:rowOff>
    </xdr:from>
    <xdr:ext cx="301686" cy="374141"/>
    <xdr:sp macro="" textlink="$C$95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12654643" y="843641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77277D8C-F8B4-4218-B958-9B0A3E288DCA}" type="TxLink">
            <a:rPr lang="en-US" sz="1800" b="1">
              <a:solidFill>
                <a:srgbClr val="FF0000"/>
              </a:solidFill>
            </a:rPr>
            <a:pPr/>
            <a:t>117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>
    <xdr:from>
      <xdr:col>17</xdr:col>
      <xdr:colOff>340178</xdr:colOff>
      <xdr:row>15</xdr:row>
      <xdr:rowOff>40821</xdr:rowOff>
    </xdr:from>
    <xdr:to>
      <xdr:col>17</xdr:col>
      <xdr:colOff>449035</xdr:colOff>
      <xdr:row>19</xdr:row>
      <xdr:rowOff>54428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10912928" y="3456214"/>
          <a:ext cx="108857" cy="83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 b="1"/>
            <a:t>PPMS</a:t>
          </a:r>
        </a:p>
      </xdr:txBody>
    </xdr:sp>
    <xdr:clientData/>
  </xdr:twoCellAnchor>
  <xdr:twoCellAnchor>
    <xdr:from>
      <xdr:col>24</xdr:col>
      <xdr:colOff>544285</xdr:colOff>
      <xdr:row>1</xdr:row>
      <xdr:rowOff>190499</xdr:rowOff>
    </xdr:from>
    <xdr:to>
      <xdr:col>32</xdr:col>
      <xdr:colOff>548369</xdr:colOff>
      <xdr:row>26</xdr:row>
      <xdr:rowOff>129949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17691</xdr:colOff>
      <xdr:row>15</xdr:row>
      <xdr:rowOff>89128</xdr:rowOff>
    </xdr:from>
    <xdr:to>
      <xdr:col>25</xdr:col>
      <xdr:colOff>289833</xdr:colOff>
      <xdr:row>19</xdr:row>
      <xdr:rowOff>102735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15489012" y="3504521"/>
          <a:ext cx="272142" cy="83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 b="1"/>
            <a:t>PPMS</a:t>
          </a:r>
        </a:p>
      </xdr:txBody>
    </xdr:sp>
    <xdr:clientData/>
  </xdr:twoCellAnchor>
  <xdr:twoCellAnchor>
    <xdr:from>
      <xdr:col>17</xdr:col>
      <xdr:colOff>27215</xdr:colOff>
      <xdr:row>98</xdr:row>
      <xdr:rowOff>0</xdr:rowOff>
    </xdr:from>
    <xdr:to>
      <xdr:col>25</xdr:col>
      <xdr:colOff>31299</xdr:colOff>
      <xdr:row>122</xdr:row>
      <xdr:rowOff>143556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20</xdr:col>
      <xdr:colOff>44905</xdr:colOff>
      <xdr:row>98</xdr:row>
      <xdr:rowOff>324530</xdr:rowOff>
    </xdr:from>
    <xdr:ext cx="301686" cy="374141"/>
    <xdr:sp macro="" textlink="$C$191">
      <xdr:nvSpPr>
        <xdr:cNvPr id="83" name="Text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12454619" y="12598173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AE9CCEAC-6747-4929-BE96-2B8FFCF1D64E}" type="TxLink">
            <a:rPr lang="en-US" sz="1800" b="1">
              <a:solidFill>
                <a:srgbClr val="FF0000"/>
              </a:solidFill>
            </a:rPr>
            <a:pPr/>
            <a:t>1737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>
    <xdr:from>
      <xdr:col>17</xdr:col>
      <xdr:colOff>112941</xdr:colOff>
      <xdr:row>111</xdr:row>
      <xdr:rowOff>21093</xdr:rowOff>
    </xdr:from>
    <xdr:to>
      <xdr:col>17</xdr:col>
      <xdr:colOff>385084</xdr:colOff>
      <xdr:row>115</xdr:row>
      <xdr:rowOff>34699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11298012" y="13179200"/>
          <a:ext cx="272143" cy="83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 b="1"/>
            <a:t>PPMS</a:t>
          </a:r>
        </a:p>
      </xdr:txBody>
    </xdr:sp>
    <xdr:clientData/>
  </xdr:twoCellAnchor>
  <xdr:twoCellAnchor>
    <xdr:from>
      <xdr:col>25</xdr:col>
      <xdr:colOff>58512</xdr:colOff>
      <xdr:row>97</xdr:row>
      <xdr:rowOff>334056</xdr:rowOff>
    </xdr:from>
    <xdr:to>
      <xdr:col>32</xdr:col>
      <xdr:colOff>530679</xdr:colOff>
      <xdr:row>122</xdr:row>
      <xdr:rowOff>137434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157846</xdr:colOff>
      <xdr:row>111</xdr:row>
      <xdr:rowOff>42185</xdr:rowOff>
    </xdr:from>
    <xdr:to>
      <xdr:col>25</xdr:col>
      <xdr:colOff>429989</xdr:colOff>
      <xdr:row>115</xdr:row>
      <xdr:rowOff>55791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16241489" y="13200292"/>
          <a:ext cx="272143" cy="83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 b="1"/>
            <a:t>PPMS</a:t>
          </a:r>
        </a:p>
      </xdr:txBody>
    </xdr:sp>
    <xdr:clientData/>
  </xdr:twoCellAnchor>
  <xdr:oneCellAnchor>
    <xdr:from>
      <xdr:col>17</xdr:col>
      <xdr:colOff>95250</xdr:colOff>
      <xdr:row>100</xdr:row>
      <xdr:rowOff>172114</xdr:rowOff>
    </xdr:from>
    <xdr:ext cx="883361" cy="264560"/>
    <xdr:sp macro="" textlink="$Q$101">
      <xdr:nvSpPr>
        <xdr:cNvPr id="128" name="TextBox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 txBox="1"/>
      </xdr:nvSpPr>
      <xdr:spPr>
        <a:xfrm>
          <a:off x="10668000" y="11085043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00052DBC-2015-4ABF-B2E6-8528012DE529}" type="TxLink">
            <a:rPr lang="en-US" b="1"/>
            <a:pPr algn="ctr"/>
            <a:t>25/ 180</a:t>
          </a:fld>
          <a:endParaRPr lang="en-US" b="1"/>
        </a:p>
      </xdr:txBody>
    </xdr:sp>
    <xdr:clientData/>
  </xdr:oneCellAnchor>
  <xdr:oneCellAnchor>
    <xdr:from>
      <xdr:col>17</xdr:col>
      <xdr:colOff>560434</xdr:colOff>
      <xdr:row>101</xdr:row>
      <xdr:rowOff>134161</xdr:rowOff>
    </xdr:from>
    <xdr:ext cx="883361" cy="264560"/>
    <xdr:sp macro="" textlink="$Q$102">
      <xdr:nvSpPr>
        <xdr:cNvPr id="133" name="TextBox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 txBox="1"/>
      </xdr:nvSpPr>
      <xdr:spPr>
        <a:xfrm>
          <a:off x="11133184" y="112511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123B0FAD-7D60-4642-93E7-E65E18714EEE}" type="TxLink">
            <a:rPr lang="en-US" b="1"/>
            <a:pPr algn="ctr"/>
            <a:t>4/ 55</a:t>
          </a:fld>
          <a:endParaRPr lang="en-US" b="1"/>
        </a:p>
      </xdr:txBody>
    </xdr:sp>
    <xdr:clientData/>
  </xdr:oneCellAnchor>
  <xdr:oneCellAnchor>
    <xdr:from>
      <xdr:col>18</xdr:col>
      <xdr:colOff>392613</xdr:colOff>
      <xdr:row>102</xdr:row>
      <xdr:rowOff>107854</xdr:rowOff>
    </xdr:from>
    <xdr:ext cx="883361" cy="264560"/>
    <xdr:sp macro="" textlink="$Q$103">
      <xdr:nvSpPr>
        <xdr:cNvPr id="134" name="TextBox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 txBox="1"/>
      </xdr:nvSpPr>
      <xdr:spPr>
        <a:xfrm>
          <a:off x="11577684" y="114289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A1FFD326-5AB7-40D9-BC0E-102DF35942AA}" type="TxLink">
            <a:rPr lang="en-US" b="1"/>
            <a:pPr algn="ctr"/>
            <a:t>12/ 190</a:t>
          </a:fld>
          <a:endParaRPr lang="en-US" b="1"/>
        </a:p>
      </xdr:txBody>
    </xdr:sp>
    <xdr:clientData/>
  </xdr:oneCellAnchor>
  <xdr:oneCellAnchor>
    <xdr:from>
      <xdr:col>19</xdr:col>
      <xdr:colOff>264706</xdr:colOff>
      <xdr:row>103</xdr:row>
      <xdr:rowOff>95154</xdr:rowOff>
    </xdr:from>
    <xdr:ext cx="883361" cy="264560"/>
    <xdr:sp macro="" textlink="$Q$104">
      <xdr:nvSpPr>
        <xdr:cNvPr id="135" name="TextBox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 txBox="1"/>
      </xdr:nvSpPr>
      <xdr:spPr>
        <a:xfrm>
          <a:off x="12062099" y="1162040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B378DDD6-AB4D-4298-8B53-36684247F051}" type="TxLink">
            <a:rPr lang="en-US" b="1"/>
            <a:pPr algn="ctr"/>
            <a:t>55/ 1588</a:t>
          </a:fld>
          <a:endParaRPr lang="en-US" b="1"/>
        </a:p>
      </xdr:txBody>
    </xdr:sp>
    <xdr:clientData/>
  </xdr:oneCellAnchor>
  <xdr:oneCellAnchor>
    <xdr:from>
      <xdr:col>20</xdr:col>
      <xdr:colOff>82370</xdr:colOff>
      <xdr:row>104</xdr:row>
      <xdr:rowOff>55240</xdr:rowOff>
    </xdr:from>
    <xdr:ext cx="883361" cy="264560"/>
    <xdr:sp macro="" textlink="$Q$105">
      <xdr:nvSpPr>
        <xdr:cNvPr id="136" name="TextBox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12492084" y="117845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048A7569-C879-4F0A-B58E-6E8913B1594E}" type="TxLink">
            <a:rPr lang="en-US" b="1"/>
            <a:pPr algn="ctr"/>
            <a:t>9/ 324</a:t>
          </a:fld>
          <a:endParaRPr lang="en-US" b="1"/>
        </a:p>
      </xdr:txBody>
    </xdr:sp>
    <xdr:clientData/>
  </xdr:oneCellAnchor>
  <xdr:oneCellAnchor>
    <xdr:from>
      <xdr:col>20</xdr:col>
      <xdr:colOff>526870</xdr:colOff>
      <xdr:row>101</xdr:row>
      <xdr:rowOff>32561</xdr:rowOff>
    </xdr:from>
    <xdr:ext cx="883361" cy="264560"/>
    <xdr:sp macro="" textlink="$Q$109">
      <xdr:nvSpPr>
        <xdr:cNvPr id="137" name="TextBox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 txBox="1"/>
      </xdr:nvSpPr>
      <xdr:spPr>
        <a:xfrm>
          <a:off x="12936584" y="111495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6DC30B6-7F8A-4186-AD00-CA64D76E13AB}" type="TxLink">
            <a:rPr lang="en-US" b="1"/>
            <a:pPr algn="ctr"/>
            <a:t>78/ 1206</a:t>
          </a:fld>
          <a:endParaRPr lang="en-US" b="1"/>
        </a:p>
      </xdr:txBody>
    </xdr:sp>
    <xdr:clientData/>
  </xdr:oneCellAnchor>
  <xdr:oneCellAnchor>
    <xdr:from>
      <xdr:col>21</xdr:col>
      <xdr:colOff>379732</xdr:colOff>
      <xdr:row>101</xdr:row>
      <xdr:rowOff>198715</xdr:rowOff>
    </xdr:from>
    <xdr:ext cx="883361" cy="264560"/>
    <xdr:sp macro="" textlink="$Q$110">
      <xdr:nvSpPr>
        <xdr:cNvPr id="138" name="TextBox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/>
      </xdr:nvSpPr>
      <xdr:spPr>
        <a:xfrm>
          <a:off x="13401768" y="11315751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12884BB3-D4C4-4237-84A0-2BC37B78FD12}" type="TxLink">
            <a:rPr lang="en-US" b="1"/>
            <a:pPr algn="ctr"/>
            <a:t>13/ 220</a:t>
          </a:fld>
          <a:endParaRPr lang="en-US" b="1"/>
        </a:p>
      </xdr:txBody>
    </xdr:sp>
    <xdr:clientData/>
  </xdr:oneCellAnchor>
  <xdr:oneCellAnchor>
    <xdr:from>
      <xdr:col>22</xdr:col>
      <xdr:colOff>211911</xdr:colOff>
      <xdr:row>102</xdr:row>
      <xdr:rowOff>172408</xdr:rowOff>
    </xdr:from>
    <xdr:ext cx="883361" cy="264560"/>
    <xdr:sp macro="" textlink="$Q$111">
      <xdr:nvSpPr>
        <xdr:cNvPr id="139" name="TextBox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/>
      </xdr:nvSpPr>
      <xdr:spPr>
        <a:xfrm>
          <a:off x="13846268" y="11493551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663B6AD-40CD-4199-BC0D-714A4BB31F66}" type="TxLink">
            <a:rPr lang="en-US" b="1"/>
            <a:pPr algn="ctr"/>
            <a:t>83/ 2520</a:t>
          </a:fld>
          <a:endParaRPr lang="en-US" b="1"/>
        </a:p>
      </xdr:txBody>
    </xdr:sp>
    <xdr:clientData/>
  </xdr:oneCellAnchor>
  <xdr:oneCellAnchor>
    <xdr:from>
      <xdr:col>23</xdr:col>
      <xdr:colOff>56789</xdr:colOff>
      <xdr:row>103</xdr:row>
      <xdr:rowOff>136576</xdr:rowOff>
    </xdr:from>
    <xdr:ext cx="883361" cy="264560"/>
    <xdr:sp macro="" textlink="$Q$112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14303468" y="11661826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F9DBC98-C238-4F1F-AD64-2845C7503642}" type="TxLink">
            <a:rPr lang="en-US" b="1"/>
            <a:pPr algn="ctr"/>
            <a:t>35/ 1080</a:t>
          </a:fld>
          <a:endParaRPr lang="en-US" b="1"/>
        </a:p>
      </xdr:txBody>
    </xdr:sp>
    <xdr:clientData/>
  </xdr:oneCellAnchor>
  <xdr:oneCellAnchor>
    <xdr:from>
      <xdr:col>23</xdr:col>
      <xdr:colOff>513989</xdr:colOff>
      <xdr:row>104</xdr:row>
      <xdr:rowOff>110269</xdr:rowOff>
    </xdr:from>
    <xdr:ext cx="883361" cy="264560"/>
    <xdr:sp macro="" textlink="$Q$113">
      <xdr:nvSpPr>
        <xdr:cNvPr id="141" name="TextBox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 txBox="1"/>
      </xdr:nvSpPr>
      <xdr:spPr>
        <a:xfrm>
          <a:off x="14760668" y="11839626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80345422-FC27-4EB7-BA1C-6C0E71324F55}" type="TxLink">
            <a:rPr lang="en-US" b="1"/>
            <a:pPr algn="ctr"/>
            <a:t>170/ 5910</a:t>
          </a:fld>
          <a:endParaRPr lang="en-US" b="1"/>
        </a:p>
      </xdr:txBody>
    </xdr:sp>
    <xdr:clientData/>
  </xdr:oneCellAnchor>
  <xdr:oneCellAnchor>
    <xdr:from>
      <xdr:col>17</xdr:col>
      <xdr:colOff>176893</xdr:colOff>
      <xdr:row>4</xdr:row>
      <xdr:rowOff>54429</xdr:rowOff>
    </xdr:from>
    <xdr:ext cx="883361" cy="264560"/>
    <xdr:sp macro="" textlink="$Q$5">
      <xdr:nvSpPr>
        <xdr:cNvPr id="142" name="TextBox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 txBox="1"/>
      </xdr:nvSpPr>
      <xdr:spPr>
        <a:xfrm>
          <a:off x="10749643" y="1224643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DDC6F2E-637F-4003-AE97-B315F460989B}" type="TxLink">
            <a:rPr lang="en-US" b="1"/>
            <a:pPr algn="ctr"/>
            <a:t>36/ 960</a:t>
          </a:fld>
          <a:endParaRPr lang="en-US" b="1"/>
        </a:p>
      </xdr:txBody>
    </xdr:sp>
    <xdr:clientData/>
  </xdr:oneCellAnchor>
  <xdr:oneCellAnchor>
    <xdr:from>
      <xdr:col>18</xdr:col>
      <xdr:colOff>29756</xdr:colOff>
      <xdr:row>5</xdr:row>
      <xdr:rowOff>16476</xdr:rowOff>
    </xdr:from>
    <xdr:ext cx="883361" cy="264560"/>
    <xdr:sp macro="" textlink="$Q$6">
      <xdr:nvSpPr>
        <xdr:cNvPr id="143" name="TextBox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 txBox="1"/>
      </xdr:nvSpPr>
      <xdr:spPr>
        <a:xfrm>
          <a:off x="11214827" y="13907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1F7085A3-BA55-4AF7-8BD2-0F8E18B1E803}" type="TxLink">
            <a:rPr lang="en-US" b="1"/>
            <a:pPr algn="ctr"/>
            <a:t>21/ 660</a:t>
          </a:fld>
          <a:endParaRPr lang="en-US" b="1"/>
        </a:p>
      </xdr:txBody>
    </xdr:sp>
    <xdr:clientData/>
  </xdr:oneCellAnchor>
  <xdr:oneCellAnchor>
    <xdr:from>
      <xdr:col>18</xdr:col>
      <xdr:colOff>474256</xdr:colOff>
      <xdr:row>5</xdr:row>
      <xdr:rowOff>194276</xdr:rowOff>
    </xdr:from>
    <xdr:ext cx="883361" cy="264560"/>
    <xdr:sp macro="" textlink="$Q$7">
      <xdr:nvSpPr>
        <xdr:cNvPr id="144" name="TextBox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 txBox="1"/>
      </xdr:nvSpPr>
      <xdr:spPr>
        <a:xfrm>
          <a:off x="11659327" y="15685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BF6001AB-FA32-4FD8-8B47-E9BE5AAF2D79}" type="TxLink">
            <a:rPr lang="en-US" b="1"/>
            <a:pPr algn="ctr"/>
            <a:t>22/ 720</a:t>
          </a:fld>
          <a:endParaRPr lang="en-US" b="1"/>
        </a:p>
      </xdr:txBody>
    </xdr:sp>
    <xdr:clientData/>
  </xdr:oneCellAnchor>
  <xdr:oneCellAnchor>
    <xdr:from>
      <xdr:col>19</xdr:col>
      <xdr:colOff>346349</xdr:colOff>
      <xdr:row>6</xdr:row>
      <xdr:rowOff>181575</xdr:rowOff>
    </xdr:from>
    <xdr:ext cx="883361" cy="264560"/>
    <xdr:sp macro="" textlink="$Q$8">
      <xdr:nvSpPr>
        <xdr:cNvPr id="145" name="TextBox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12143742" y="176000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24C67545-2715-43EC-BEAF-906FC115F9A4}" type="TxLink">
            <a:rPr lang="en-US" b="1"/>
            <a:pPr algn="ctr"/>
            <a:t>20/ 848</a:t>
          </a:fld>
          <a:endParaRPr lang="en-US" b="1"/>
        </a:p>
      </xdr:txBody>
    </xdr:sp>
    <xdr:clientData/>
  </xdr:oneCellAnchor>
  <xdr:oneCellAnchor>
    <xdr:from>
      <xdr:col>20</xdr:col>
      <xdr:colOff>164013</xdr:colOff>
      <xdr:row>7</xdr:row>
      <xdr:rowOff>141661</xdr:rowOff>
    </xdr:from>
    <xdr:ext cx="883361" cy="264560"/>
    <xdr:sp macro="" textlink="$Q$9">
      <xdr:nvSpPr>
        <xdr:cNvPr id="146" name="TextBox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/>
      </xdr:nvSpPr>
      <xdr:spPr>
        <a:xfrm>
          <a:off x="12573727" y="19241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B5182610-D8D9-42F2-A6C9-CE1345AB3942}" type="TxLink">
            <a:rPr lang="en-US" b="1"/>
            <a:pPr algn="ctr"/>
            <a:t>6/ 315</a:t>
          </a:fld>
          <a:endParaRPr lang="en-US" b="1"/>
        </a:p>
      </xdr:txBody>
    </xdr:sp>
    <xdr:clientData/>
  </xdr:oneCellAnchor>
  <xdr:oneCellAnchor>
    <xdr:from>
      <xdr:col>20</xdr:col>
      <xdr:colOff>431622</xdr:colOff>
      <xdr:row>4</xdr:row>
      <xdr:rowOff>118983</xdr:rowOff>
    </xdr:from>
    <xdr:ext cx="883361" cy="264560"/>
    <xdr:sp macro="" textlink="$Q$13">
      <xdr:nvSpPr>
        <xdr:cNvPr id="147" name="TextBox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 txBox="1"/>
      </xdr:nvSpPr>
      <xdr:spPr>
        <a:xfrm>
          <a:off x="12841336" y="12891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3251C7A4-A4AB-4E85-B330-B179E2C41DD9}" type="TxLink">
            <a:rPr lang="en-US" b="1"/>
            <a:pPr algn="ctr"/>
            <a:t>20/ 60</a:t>
          </a:fld>
          <a:endParaRPr lang="en-US" b="1"/>
        </a:p>
      </xdr:txBody>
    </xdr:sp>
    <xdr:clientData/>
  </xdr:oneCellAnchor>
  <xdr:oneCellAnchor>
    <xdr:from>
      <xdr:col>21</xdr:col>
      <xdr:colOff>284484</xdr:colOff>
      <xdr:row>5</xdr:row>
      <xdr:rowOff>81030</xdr:rowOff>
    </xdr:from>
    <xdr:ext cx="883361" cy="264560"/>
    <xdr:sp macro="" textlink="$Q$14">
      <xdr:nvSpPr>
        <xdr:cNvPr id="148" name="TextBox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13306520" y="1455351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F5EA5E7-BFE2-4166-B832-C35E4F1F4794}" type="TxLink">
            <a:rPr lang="en-US" b="1"/>
            <a:pPr algn="ctr"/>
            <a:t>8/ 60</a:t>
          </a:fld>
          <a:endParaRPr lang="en-US" b="1"/>
        </a:p>
      </xdr:txBody>
    </xdr:sp>
    <xdr:clientData/>
  </xdr:oneCellAnchor>
  <xdr:oneCellAnchor>
    <xdr:from>
      <xdr:col>22</xdr:col>
      <xdr:colOff>116663</xdr:colOff>
      <xdr:row>6</xdr:row>
      <xdr:rowOff>54722</xdr:rowOff>
    </xdr:from>
    <xdr:ext cx="883361" cy="264560"/>
    <xdr:sp macro="" textlink="$Q$15">
      <xdr:nvSpPr>
        <xdr:cNvPr id="149" name="TextBox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 txBox="1"/>
      </xdr:nvSpPr>
      <xdr:spPr>
        <a:xfrm>
          <a:off x="13751020" y="1633151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8B6BB9E6-F5AF-4002-B917-08F69C6D6807}" type="TxLink">
            <a:rPr lang="en-US" b="1"/>
            <a:pPr algn="ctr"/>
            <a:t>36/ 1020</a:t>
          </a:fld>
          <a:endParaRPr lang="en-US" b="1"/>
        </a:p>
      </xdr:txBody>
    </xdr:sp>
    <xdr:clientData/>
  </xdr:oneCellAnchor>
  <xdr:oneCellAnchor>
    <xdr:from>
      <xdr:col>22</xdr:col>
      <xdr:colOff>573863</xdr:colOff>
      <xdr:row>7</xdr:row>
      <xdr:rowOff>18890</xdr:rowOff>
    </xdr:from>
    <xdr:ext cx="883361" cy="264560"/>
    <xdr:sp macro="" textlink="$Q$16">
      <xdr:nvSpPr>
        <xdr:cNvPr id="150" name="TextBox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14208220" y="1801426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AE250762-8F59-41E2-ACCC-3FF5E14472E2}" type="TxLink">
            <a:rPr lang="en-US" b="1"/>
            <a:pPr algn="ctr"/>
            <a:t>13/ 390</a:t>
          </a:fld>
          <a:endParaRPr lang="en-US" b="1"/>
        </a:p>
      </xdr:txBody>
    </xdr:sp>
    <xdr:clientData/>
  </xdr:oneCellAnchor>
  <xdr:oneCellAnchor>
    <xdr:from>
      <xdr:col>23</xdr:col>
      <xdr:colOff>418741</xdr:colOff>
      <xdr:row>7</xdr:row>
      <xdr:rowOff>196690</xdr:rowOff>
    </xdr:from>
    <xdr:ext cx="883361" cy="264560"/>
    <xdr:sp macro="" textlink="$Q$17">
      <xdr:nvSpPr>
        <xdr:cNvPr id="151" name="TextBox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 txBox="1"/>
      </xdr:nvSpPr>
      <xdr:spPr>
        <a:xfrm>
          <a:off x="14665420" y="1979226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E317B03F-5E26-4E7A-8E72-B58C5A986D71}" type="TxLink">
            <a:rPr lang="en-US" b="1"/>
            <a:pPr algn="ctr"/>
            <a:t>33/ 1335</a:t>
          </a:fld>
          <a:endParaRPr lang="en-US" b="1"/>
        </a:p>
      </xdr:txBody>
    </xdr:sp>
    <xdr:clientData/>
  </xdr:oneCellAnchor>
  <xdr:oneCellAnchor>
    <xdr:from>
      <xdr:col>25</xdr:col>
      <xdr:colOff>408214</xdr:colOff>
      <xdr:row>101</xdr:row>
      <xdr:rowOff>102505</xdr:rowOff>
    </xdr:from>
    <xdr:ext cx="835236" cy="283937"/>
    <xdr:sp macro="" textlink="$Q$118">
      <xdr:nvSpPr>
        <xdr:cNvPr id="152" name="TextBox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15879535" y="11219541"/>
          <a:ext cx="835236" cy="283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5D60E383-E422-4EF5-9453-87F99FBBA188}" type="TxLink">
            <a:rPr lang="en-US" sz="1200" b="1"/>
            <a:pPr algn="ctr"/>
            <a:t>96/ 3013</a:t>
          </a:fld>
          <a:endParaRPr lang="en-US" sz="1200" b="1"/>
        </a:p>
      </xdr:txBody>
    </xdr:sp>
    <xdr:clientData/>
  </xdr:oneCellAnchor>
  <xdr:oneCellAnchor>
    <xdr:from>
      <xdr:col>27</xdr:col>
      <xdr:colOff>34471</xdr:colOff>
      <xdr:row>101</xdr:row>
      <xdr:rowOff>96303</xdr:rowOff>
    </xdr:from>
    <xdr:ext cx="879940" cy="280205"/>
    <xdr:sp macro="" textlink="$Q$119">
      <xdr:nvSpPr>
        <xdr:cNvPr id="153" name="TextBox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16730435" y="11213339"/>
          <a:ext cx="8799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2C9A17B9-36E8-4D6E-A2C2-33AB1832931A}" type="TxLink">
            <a:rPr lang="en-US" sz="1200" b="1"/>
            <a:pPr algn="ctr"/>
            <a:t>25/ 410</a:t>
          </a:fld>
          <a:endParaRPr lang="en-US" sz="1200" b="1"/>
        </a:p>
      </xdr:txBody>
    </xdr:sp>
    <xdr:clientData/>
  </xdr:oneCellAnchor>
  <xdr:oneCellAnchor>
    <xdr:from>
      <xdr:col>28</xdr:col>
      <xdr:colOff>374649</xdr:colOff>
      <xdr:row>101</xdr:row>
      <xdr:rowOff>99023</xdr:rowOff>
    </xdr:from>
    <xdr:ext cx="850000" cy="280205"/>
    <xdr:sp macro="" textlink="$Q$120">
      <xdr:nvSpPr>
        <xdr:cNvPr id="154" name="TextBox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/>
      </xdr:nvSpPr>
      <xdr:spPr>
        <a:xfrm>
          <a:off x="24622578" y="13175487"/>
          <a:ext cx="85000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D99801EA-98F1-4D95-AD22-F52463628C60}" type="TxLink">
            <a:rPr lang="en-US" sz="1200" b="1"/>
            <a:pPr algn="ctr"/>
            <a:t>34/ 3808</a:t>
          </a:fld>
          <a:endParaRPr lang="en-US" sz="1200" b="1"/>
        </a:p>
      </xdr:txBody>
    </xdr:sp>
    <xdr:clientData/>
  </xdr:oneCellAnchor>
  <xdr:oneCellAnchor>
    <xdr:from>
      <xdr:col>30</xdr:col>
      <xdr:colOff>64406</xdr:colOff>
      <xdr:row>101</xdr:row>
      <xdr:rowOff>106735</xdr:rowOff>
    </xdr:from>
    <xdr:ext cx="885376" cy="280205"/>
    <xdr:sp macro="" textlink="$Q$121">
      <xdr:nvSpPr>
        <xdr:cNvPr id="155" name="TextBox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18597335" y="11223771"/>
          <a:ext cx="88537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CA41F5DF-2A5A-4661-8C08-AB9DDCC3CE96}" type="TxLink">
            <a:rPr lang="en-US" sz="1200" b="1"/>
            <a:pPr algn="ctr"/>
            <a:t>133/ 2794</a:t>
          </a:fld>
          <a:endParaRPr lang="en-US" sz="1200" b="1"/>
        </a:p>
      </xdr:txBody>
    </xdr:sp>
    <xdr:clientData/>
  </xdr:oneCellAnchor>
  <xdr:oneCellAnchor>
    <xdr:from>
      <xdr:col>31</xdr:col>
      <xdr:colOff>400291</xdr:colOff>
      <xdr:row>101</xdr:row>
      <xdr:rowOff>81643</xdr:rowOff>
    </xdr:from>
    <xdr:ext cx="904179" cy="280205"/>
    <xdr:sp macro="" textlink="$Q$122">
      <xdr:nvSpPr>
        <xdr:cNvPr id="156" name="TextBox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/>
      </xdr:nvSpPr>
      <xdr:spPr>
        <a:xfrm>
          <a:off x="19545541" y="11198679"/>
          <a:ext cx="90417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6901B6B6-489D-4393-815D-62BFA20D99C0}" type="TxLink">
            <a:rPr lang="en-US" sz="1200" b="1"/>
            <a:pPr algn="ctr"/>
            <a:t>219/ 9360</a:t>
          </a:fld>
          <a:endParaRPr lang="en-US" sz="1200" b="1"/>
        </a:p>
      </xdr:txBody>
    </xdr:sp>
    <xdr:clientData/>
  </xdr:oneCellAnchor>
  <xdr:oneCellAnchor>
    <xdr:from>
      <xdr:col>25</xdr:col>
      <xdr:colOff>95249</xdr:colOff>
      <xdr:row>5</xdr:row>
      <xdr:rowOff>116163</xdr:rowOff>
    </xdr:from>
    <xdr:ext cx="835236" cy="283937"/>
    <xdr:sp macro="" textlink="$Q$21">
      <xdr:nvSpPr>
        <xdr:cNvPr id="157" name="TextBox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/>
      </xdr:nvSpPr>
      <xdr:spPr>
        <a:xfrm>
          <a:off x="15566570" y="1490484"/>
          <a:ext cx="835236" cy="283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3A394489-C013-49C7-826A-913BEDEDD0A3}" type="TxLink">
            <a:rPr lang="en-US" sz="1200" b="1"/>
            <a:pPr algn="ctr"/>
            <a:t>26/ 2070</a:t>
          </a:fld>
          <a:endParaRPr lang="en-US" sz="1200" b="1"/>
        </a:p>
      </xdr:txBody>
    </xdr:sp>
    <xdr:clientData/>
  </xdr:oneCellAnchor>
  <xdr:oneCellAnchor>
    <xdr:from>
      <xdr:col>26</xdr:col>
      <xdr:colOff>333827</xdr:colOff>
      <xdr:row>5</xdr:row>
      <xdr:rowOff>109961</xdr:rowOff>
    </xdr:from>
    <xdr:ext cx="879940" cy="280205"/>
    <xdr:sp macro="" textlink="$Q$22">
      <xdr:nvSpPr>
        <xdr:cNvPr id="158" name="TextBox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16417470" y="1484282"/>
          <a:ext cx="8799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6F913378-4983-4F51-8027-59135D6E3B2A}" type="TxLink">
            <a:rPr lang="en-US" sz="1200" b="1"/>
            <a:pPr algn="ctr"/>
            <a:t>20/ 408</a:t>
          </a:fld>
          <a:endParaRPr lang="en-US" sz="1200" b="1"/>
        </a:p>
      </xdr:txBody>
    </xdr:sp>
    <xdr:clientData/>
  </xdr:oneCellAnchor>
  <xdr:oneCellAnchor>
    <xdr:from>
      <xdr:col>28</xdr:col>
      <xdr:colOff>61684</xdr:colOff>
      <xdr:row>5</xdr:row>
      <xdr:rowOff>112681</xdr:rowOff>
    </xdr:from>
    <xdr:ext cx="850000" cy="280205"/>
    <xdr:sp macro="" textlink="$Q$23">
      <xdr:nvSpPr>
        <xdr:cNvPr id="159" name="TextBox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 txBox="1"/>
      </xdr:nvSpPr>
      <xdr:spPr>
        <a:xfrm>
          <a:off x="17369970" y="1487002"/>
          <a:ext cx="85000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AB50439F-DF0C-46A1-8F39-76A42E52DF3D}" type="TxLink">
            <a:rPr lang="en-US" sz="1200" b="1"/>
            <a:pPr algn="ctr"/>
            <a:t>35/ 1110</a:t>
          </a:fld>
          <a:endParaRPr lang="en-US" sz="1200" b="1"/>
        </a:p>
      </xdr:txBody>
    </xdr:sp>
    <xdr:clientData/>
  </xdr:oneCellAnchor>
  <xdr:oneCellAnchor>
    <xdr:from>
      <xdr:col>29</xdr:col>
      <xdr:colOff>363763</xdr:colOff>
      <xdr:row>5</xdr:row>
      <xdr:rowOff>120393</xdr:rowOff>
    </xdr:from>
    <xdr:ext cx="885376" cy="280205"/>
    <xdr:sp macro="" textlink="$Q$24">
      <xdr:nvSpPr>
        <xdr:cNvPr id="160" name="TextBox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18284370" y="1494714"/>
          <a:ext cx="88537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2B035C37-613B-49C7-82FF-1C13FB7D339A}" type="TxLink">
            <a:rPr lang="en-US" sz="1200" b="1"/>
            <a:pPr algn="ctr"/>
            <a:t>40/ 1920</a:t>
          </a:fld>
          <a:endParaRPr lang="en-US" sz="1200" b="1"/>
        </a:p>
      </xdr:txBody>
    </xdr:sp>
    <xdr:clientData/>
  </xdr:oneCellAnchor>
  <xdr:oneCellAnchor>
    <xdr:from>
      <xdr:col>31</xdr:col>
      <xdr:colOff>87326</xdr:colOff>
      <xdr:row>5</xdr:row>
      <xdr:rowOff>95301</xdr:rowOff>
    </xdr:from>
    <xdr:ext cx="904179" cy="280205"/>
    <xdr:sp macro="" textlink="$Q$25">
      <xdr:nvSpPr>
        <xdr:cNvPr id="161" name="TextBox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/>
      </xdr:nvSpPr>
      <xdr:spPr>
        <a:xfrm>
          <a:off x="19232576" y="1469622"/>
          <a:ext cx="90417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5ACE1C50-6ECA-435E-803B-9E97E4E05DDB}" type="TxLink">
            <a:rPr lang="en-US" sz="1200" b="1"/>
            <a:pPr algn="ctr"/>
            <a:t>38/ 2670</a:t>
          </a:fld>
          <a:endParaRPr lang="en-US" sz="1200" b="1"/>
        </a:p>
      </xdr:txBody>
    </xdr:sp>
    <xdr:clientData/>
  </xdr:oneCellAnchor>
  <xdr:twoCellAnchor>
    <xdr:from>
      <xdr:col>17</xdr:col>
      <xdr:colOff>163283</xdr:colOff>
      <xdr:row>27</xdr:row>
      <xdr:rowOff>136071</xdr:rowOff>
    </xdr:from>
    <xdr:to>
      <xdr:col>24</xdr:col>
      <xdr:colOff>503463</xdr:colOff>
      <xdr:row>53</xdr:row>
      <xdr:rowOff>61915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530675</xdr:colOff>
      <xdr:row>27</xdr:row>
      <xdr:rowOff>143556</xdr:rowOff>
    </xdr:from>
    <xdr:to>
      <xdr:col>32</xdr:col>
      <xdr:colOff>534759</xdr:colOff>
      <xdr:row>53</xdr:row>
      <xdr:rowOff>69400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312965</xdr:colOff>
      <xdr:row>39</xdr:row>
      <xdr:rowOff>108858</xdr:rowOff>
    </xdr:from>
    <xdr:to>
      <xdr:col>17</xdr:col>
      <xdr:colOff>517071</xdr:colOff>
      <xdr:row>46</xdr:row>
      <xdr:rowOff>81644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10885715" y="8422822"/>
          <a:ext cx="204106" cy="14015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 b="1"/>
            <a:t>DEFECTOS</a:t>
          </a:r>
        </a:p>
      </xdr:txBody>
    </xdr:sp>
    <xdr:clientData/>
  </xdr:twoCellAnchor>
  <xdr:twoCellAnchor>
    <xdr:from>
      <xdr:col>25</xdr:col>
      <xdr:colOff>95249</xdr:colOff>
      <xdr:row>39</xdr:row>
      <xdr:rowOff>136074</xdr:rowOff>
    </xdr:from>
    <xdr:to>
      <xdr:col>25</xdr:col>
      <xdr:colOff>299355</xdr:colOff>
      <xdr:row>46</xdr:row>
      <xdr:rowOff>108860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15566570" y="8450038"/>
          <a:ext cx="204106" cy="14015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 b="1"/>
            <a:t>DEFECTOS</a:t>
          </a:r>
        </a:p>
      </xdr:txBody>
    </xdr:sp>
    <xdr:clientData/>
  </xdr:twoCellAnchor>
  <xdr:twoCellAnchor>
    <xdr:from>
      <xdr:col>17</xdr:col>
      <xdr:colOff>40820</xdr:colOff>
      <xdr:row>123</xdr:row>
      <xdr:rowOff>81642</xdr:rowOff>
    </xdr:from>
    <xdr:to>
      <xdr:col>24</xdr:col>
      <xdr:colOff>381000</xdr:colOff>
      <xdr:row>149</xdr:row>
      <xdr:rowOff>7486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408212</xdr:colOff>
      <xdr:row>123</xdr:row>
      <xdr:rowOff>89127</xdr:rowOff>
    </xdr:from>
    <xdr:to>
      <xdr:col>32</xdr:col>
      <xdr:colOff>412296</xdr:colOff>
      <xdr:row>149</xdr:row>
      <xdr:rowOff>14971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190502</xdr:colOff>
      <xdr:row>135</xdr:row>
      <xdr:rowOff>54429</xdr:rowOff>
    </xdr:from>
    <xdr:to>
      <xdr:col>17</xdr:col>
      <xdr:colOff>394608</xdr:colOff>
      <xdr:row>142</xdr:row>
      <xdr:rowOff>27215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10763252" y="30480000"/>
          <a:ext cx="204106" cy="14015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 b="1"/>
            <a:t>DEFECTOS</a:t>
          </a:r>
        </a:p>
      </xdr:txBody>
    </xdr:sp>
    <xdr:clientData/>
  </xdr:twoCellAnchor>
  <xdr:twoCellAnchor>
    <xdr:from>
      <xdr:col>24</xdr:col>
      <xdr:colOff>585107</xdr:colOff>
      <xdr:row>135</xdr:row>
      <xdr:rowOff>81645</xdr:rowOff>
    </xdr:from>
    <xdr:to>
      <xdr:col>25</xdr:col>
      <xdr:colOff>176892</xdr:colOff>
      <xdr:row>142</xdr:row>
      <xdr:rowOff>54431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15444107" y="30507216"/>
          <a:ext cx="204106" cy="14015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 b="1"/>
            <a:t>DEFECTOS</a:t>
          </a:r>
        </a:p>
      </xdr:txBody>
    </xdr:sp>
    <xdr:clientData/>
  </xdr:twoCellAnchor>
  <xdr:oneCellAnchor>
    <xdr:from>
      <xdr:col>20</xdr:col>
      <xdr:colOff>244928</xdr:colOff>
      <xdr:row>29</xdr:row>
      <xdr:rowOff>27214</xdr:rowOff>
    </xdr:from>
    <xdr:ext cx="301686" cy="374141"/>
    <xdr:sp macro="" textlink="$C$95">
      <xdr:nvSpPr>
        <xdr:cNvPr id="88" name="TextBox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12654642" y="6300107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77277D8C-F8B4-4218-B958-9B0A3E288DCA}" type="TxLink">
            <a:rPr lang="en-US" sz="1800" b="1">
              <a:solidFill>
                <a:srgbClr val="FF0000"/>
              </a:solidFill>
            </a:rPr>
            <a:pPr/>
            <a:t>117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23</xdr:col>
      <xdr:colOff>312963</xdr:colOff>
      <xdr:row>29</xdr:row>
      <xdr:rowOff>40821</xdr:rowOff>
    </xdr:from>
    <xdr:ext cx="301686" cy="374141"/>
    <xdr:sp macro="" textlink="$D$95">
      <xdr:nvSpPr>
        <xdr:cNvPr id="89" name="TextBox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14559642" y="6313714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B3D525BE-E724-4D34-ABD2-4D997BF32E56}" type="TxLink">
            <a:rPr lang="en-US" sz="1800" b="1">
              <a:solidFill>
                <a:srgbClr val="FF0000"/>
              </a:solidFill>
            </a:rPr>
            <a:pPr/>
            <a:t>267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28</xdr:col>
      <xdr:colOff>258535</xdr:colOff>
      <xdr:row>29</xdr:row>
      <xdr:rowOff>54428</xdr:rowOff>
    </xdr:from>
    <xdr:ext cx="301686" cy="374141"/>
    <xdr:sp macro="" textlink="$E$95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17566821" y="6327321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756D9620-49C4-46B7-BF67-39E9520DD02D}" type="TxLink">
            <a:rPr lang="en-US" sz="1800" b="1">
              <a:solidFill>
                <a:srgbClr val="FF0000"/>
              </a:solidFill>
            </a:rPr>
            <a:pPr/>
            <a:t>384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20</xdr:col>
      <xdr:colOff>81644</xdr:colOff>
      <xdr:row>124</xdr:row>
      <xdr:rowOff>176891</xdr:rowOff>
    </xdr:from>
    <xdr:ext cx="301686" cy="374141"/>
    <xdr:sp macro="" textlink="$C$191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12491358" y="28357284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AE9CCEAC-6747-4929-BE96-2B8FFCF1D64E}" type="TxLink">
            <a:rPr lang="en-US" sz="1800" b="1">
              <a:solidFill>
                <a:srgbClr val="FF0000"/>
              </a:solidFill>
            </a:rPr>
            <a:pPr/>
            <a:t>1737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23</xdr:col>
      <xdr:colOff>152400</xdr:colOff>
      <xdr:row>124</xdr:row>
      <xdr:rowOff>193220</xdr:rowOff>
    </xdr:from>
    <xdr:ext cx="301686" cy="374141"/>
    <xdr:sp macro="" textlink="$D$191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14399079" y="28373613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CFF92277-EB8A-42B9-A2FC-32A473183AA8}" type="TxLink">
            <a:rPr lang="en-US" sz="1800" b="1">
              <a:solidFill>
                <a:srgbClr val="FF0000"/>
              </a:solidFill>
            </a:rPr>
            <a:pPr/>
            <a:t>3947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28</xdr:col>
      <xdr:colOff>149678</xdr:colOff>
      <xdr:row>125</xdr:row>
      <xdr:rowOff>27213</xdr:rowOff>
    </xdr:from>
    <xdr:ext cx="301686" cy="374141"/>
    <xdr:sp macro="" textlink="$E$191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17457964" y="28411713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1412BEED-7956-4442-8AE0-CF08F7E66722}" type="TxLink">
            <a:rPr lang="en-US" sz="1800" b="1">
              <a:solidFill>
                <a:srgbClr val="FF0000"/>
              </a:solidFill>
            </a:rPr>
            <a:pPr/>
            <a:t>5684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0.35185</cdr:x>
      <cdr:y>0.88075</cdr:y>
    </cdr:from>
    <cdr:to>
      <cdr:x>0.69206</cdr:x>
      <cdr:y>0.96913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1604402" y="2636588"/>
          <a:ext cx="1551322" cy="26456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25400" cap="flat" cmpd="sng" algn="ctr">
          <a:solidFill>
            <a:sysClr val="windowText" lastClr="00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MX" sz="1100" b="1"/>
            <a:t>TOTAL</a:t>
          </a:r>
          <a:r>
            <a:rPr lang="es-MX" sz="1100" b="1" baseline="0"/>
            <a:t> DEFECTOS: 2441</a:t>
          </a:r>
          <a:endParaRPr lang="es-MX" sz="11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0.00487</cdr:x>
      <cdr:y>0.00743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1D7F46A-8FBE-43C9-BB03-3BEF98EC17D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0.08729</cdr:x>
      <cdr:y>0.88484</cdr:y>
    </cdr:from>
    <cdr:to>
      <cdr:x>0.38348</cdr:x>
      <cdr:y>0.95595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35911" y="3067560"/>
          <a:ext cx="1479106" cy="24653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25400" cap="flat" cmpd="sng" algn="ctr">
          <a:solidFill>
            <a:sysClr val="windowText" lastClr="00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MX" sz="1100" b="1"/>
            <a:t>TOTAL DEFECTOS: 1327</a:t>
          </a:r>
        </a:p>
      </cdr:txBody>
    </cdr:sp>
  </cdr:relSizeAnchor>
  <cdr:relSizeAnchor xmlns:cdr="http://schemas.openxmlformats.org/drawingml/2006/chartDrawing">
    <cdr:from>
      <cdr:x>0.65628</cdr:x>
      <cdr:y>0.89312</cdr:y>
    </cdr:from>
    <cdr:to>
      <cdr:x>0.96113</cdr:x>
      <cdr:y>0.95988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3277343" y="3096266"/>
          <a:ext cx="1522387" cy="23143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25400" cap="flat" cmpd="sng" algn="ctr">
          <a:solidFill>
            <a:sysClr val="windowText" lastClr="00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 b="1"/>
            <a:t>TOTAL DEFECTOS: 1614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0.09226</cdr:x>
      <cdr:y>0.09307</cdr:y>
    </cdr:from>
    <cdr:to>
      <cdr:x>0.32143</cdr:x>
      <cdr:y>0.18218</cdr:y>
    </cdr:to>
    <cdr:sp macro="" textlink="">
      <cdr:nvSpPr>
        <cdr:cNvPr id="2" name="TextBox 13"/>
        <cdr:cNvSpPr txBox="1"/>
      </cdr:nvSpPr>
      <cdr:spPr>
        <a:xfrm xmlns:a="http://schemas.openxmlformats.org/drawingml/2006/main">
          <a:off x="421822" y="255815"/>
          <a:ext cx="1047750" cy="2449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1ER TURNO</a:t>
          </a:r>
        </a:p>
      </cdr:txBody>
    </cdr:sp>
  </cdr:relSizeAnchor>
  <cdr:relSizeAnchor xmlns:cdr="http://schemas.openxmlformats.org/drawingml/2006/chartDrawing">
    <cdr:from>
      <cdr:x>0.7237</cdr:x>
      <cdr:y>0.08219</cdr:y>
    </cdr:from>
    <cdr:to>
      <cdr:x>0.95287</cdr:x>
      <cdr:y>0.1713</cdr:y>
    </cdr:to>
    <cdr:sp macro="" textlink="">
      <cdr:nvSpPr>
        <cdr:cNvPr id="3" name="TextBox 14"/>
        <cdr:cNvSpPr txBox="1"/>
      </cdr:nvSpPr>
      <cdr:spPr>
        <a:xfrm xmlns:a="http://schemas.openxmlformats.org/drawingml/2006/main">
          <a:off x="3338318" y="244929"/>
          <a:ext cx="1057104" cy="2655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2DO TURNO</a:t>
          </a:r>
        </a:p>
      </cdr:txBody>
    </cdr:sp>
  </cdr:relSizeAnchor>
  <cdr:relSizeAnchor xmlns:cdr="http://schemas.openxmlformats.org/drawingml/2006/chartDrawing">
    <cdr:from>
      <cdr:x>0.10947</cdr:x>
      <cdr:y>0.88002</cdr:y>
    </cdr:from>
    <cdr:to>
      <cdr:x>0.44675</cdr:x>
      <cdr:y>0.94505</cdr:y>
    </cdr:to>
    <cdr:sp macro="" textlink="">
      <cdr:nvSpPr>
        <cdr:cNvPr id="4" name="TextBox 9"/>
        <cdr:cNvSpPr txBox="1"/>
      </cdr:nvSpPr>
      <cdr:spPr>
        <a:xfrm xmlns:a="http://schemas.openxmlformats.org/drawingml/2006/main">
          <a:off x="503476" y="3269054"/>
          <a:ext cx="1551203" cy="2415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TOTAL</a:t>
          </a:r>
          <a:r>
            <a:rPr lang="en-US" sz="1100" b="1" baseline="0"/>
            <a:t> DEFECTOS: 1215</a:t>
          </a:r>
          <a:endParaRPr lang="en-US" sz="1100" b="1"/>
        </a:p>
      </cdr:txBody>
    </cdr:sp>
  </cdr:relSizeAnchor>
  <cdr:relSizeAnchor xmlns:cdr="http://schemas.openxmlformats.org/drawingml/2006/chartDrawing">
    <cdr:from>
      <cdr:x>0.59013</cdr:x>
      <cdr:y>0.89011</cdr:y>
    </cdr:from>
    <cdr:to>
      <cdr:x>0.96866</cdr:x>
      <cdr:y>0.96133</cdr:y>
    </cdr:to>
    <cdr:sp macro="" textlink="">
      <cdr:nvSpPr>
        <cdr:cNvPr id="5" name="TextBox 10"/>
        <cdr:cNvSpPr txBox="1"/>
      </cdr:nvSpPr>
      <cdr:spPr>
        <a:xfrm xmlns:a="http://schemas.openxmlformats.org/drawingml/2006/main">
          <a:off x="2714134" y="3306536"/>
          <a:ext cx="1740926" cy="2645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TOTAL DE DEFECTOS:</a:t>
          </a:r>
          <a:r>
            <a:rPr lang="en-US" sz="1100" b="1" baseline="0"/>
            <a:t> 1522</a:t>
          </a:r>
          <a:endParaRPr lang="en-US" sz="1100" b="1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0.08333</cdr:x>
      <cdr:y>0.06723</cdr:y>
    </cdr:from>
    <cdr:to>
      <cdr:x>0.25504</cdr:x>
      <cdr:y>0.10644</cdr:y>
    </cdr:to>
    <cdr:sp macro="" textlink="">
      <cdr:nvSpPr>
        <cdr:cNvPr id="2" name="TextBox 36"/>
        <cdr:cNvSpPr txBox="1"/>
      </cdr:nvSpPr>
      <cdr:spPr>
        <a:xfrm xmlns:a="http://schemas.openxmlformats.org/drawingml/2006/main">
          <a:off x="421821" y="326572"/>
          <a:ext cx="869159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1ER TURNO</a:t>
          </a:r>
        </a:p>
      </cdr:txBody>
    </cdr:sp>
  </cdr:relSizeAnchor>
  <cdr:relSizeAnchor xmlns:cdr="http://schemas.openxmlformats.org/drawingml/2006/chartDrawing">
    <cdr:from>
      <cdr:x>0.73387</cdr:x>
      <cdr:y>0.05882</cdr:y>
    </cdr:from>
    <cdr:to>
      <cdr:x>0.93898</cdr:x>
      <cdr:y>0.10098</cdr:y>
    </cdr:to>
    <cdr:sp macro="" textlink="">
      <cdr:nvSpPr>
        <cdr:cNvPr id="3" name="TextBox 37"/>
        <cdr:cNvSpPr txBox="1"/>
      </cdr:nvSpPr>
      <cdr:spPr>
        <a:xfrm xmlns:a="http://schemas.openxmlformats.org/drawingml/2006/main">
          <a:off x="3714750" y="285750"/>
          <a:ext cx="1038229" cy="2047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2DO TURNO</a:t>
          </a:r>
        </a:p>
      </cdr:txBody>
    </cdr:sp>
  </cdr:relSizeAnchor>
  <cdr:relSizeAnchor xmlns:cdr="http://schemas.openxmlformats.org/drawingml/2006/chartDrawing">
    <cdr:from>
      <cdr:x>0.11022</cdr:x>
      <cdr:y>0.91597</cdr:y>
    </cdr:from>
    <cdr:to>
      <cdr:x>0.33132</cdr:x>
      <cdr:y>0.97969</cdr:y>
    </cdr:to>
    <cdr:sp macro="" textlink="">
      <cdr:nvSpPr>
        <cdr:cNvPr id="4" name="TextBox 35"/>
        <cdr:cNvSpPr txBox="1"/>
      </cdr:nvSpPr>
      <cdr:spPr>
        <a:xfrm xmlns:a="http://schemas.openxmlformats.org/drawingml/2006/main">
          <a:off x="557893" y="4449536"/>
          <a:ext cx="1119191" cy="3095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100" b="1"/>
            <a:t>DEFECTOS:936</a:t>
          </a:r>
        </a:p>
      </cdr:txBody>
    </cdr:sp>
  </cdr:relSizeAnchor>
  <cdr:relSizeAnchor xmlns:cdr="http://schemas.openxmlformats.org/drawingml/2006/chartDrawing">
    <cdr:from>
      <cdr:x>0.70968</cdr:x>
      <cdr:y>0.91597</cdr:y>
    </cdr:from>
    <cdr:to>
      <cdr:x>0.93078</cdr:x>
      <cdr:y>0.97969</cdr:y>
    </cdr:to>
    <cdr:sp macro="" textlink="">
      <cdr:nvSpPr>
        <cdr:cNvPr id="5" name="TextBox 35"/>
        <cdr:cNvSpPr txBox="1"/>
      </cdr:nvSpPr>
      <cdr:spPr>
        <a:xfrm xmlns:a="http://schemas.openxmlformats.org/drawingml/2006/main">
          <a:off x="3592286" y="4449535"/>
          <a:ext cx="1119191" cy="3095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DEFECTOS:1002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0.09226</cdr:x>
      <cdr:y>0.12162</cdr:y>
    </cdr:from>
    <cdr:to>
      <cdr:x>0.99684</cdr:x>
      <cdr:y>0.9973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F5AAB256-E14E-456C-A42D-8E1FE990559D}"/>
            </a:ext>
          </a:extLst>
        </cdr:cNvPr>
        <cdr:cNvGrpSpPr/>
      </cdr:nvGrpSpPr>
      <cdr:grpSpPr>
        <a:xfrm xmlns:a="http://schemas.openxmlformats.org/drawingml/2006/main">
          <a:off x="415194" y="506969"/>
          <a:ext cx="4070849" cy="3650243"/>
          <a:chOff x="421821" y="442240"/>
          <a:chExt cx="4135720" cy="3086098"/>
        </a:xfrm>
      </cdr:grpSpPr>
      <cdr:sp macro="" textlink="">
        <cdr:nvSpPr>
          <cdr:cNvPr id="2" name="TextBox 36"/>
          <cdr:cNvSpPr txBox="1"/>
        </cdr:nvSpPr>
        <cdr:spPr>
          <a:xfrm xmlns:a="http://schemas.openxmlformats.org/drawingml/2006/main">
            <a:off x="421821" y="442240"/>
            <a:ext cx="1415669" cy="171449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400" b="1"/>
              <a:t>1ER TURNO</a:t>
            </a:r>
          </a:p>
        </cdr:txBody>
      </cdr:sp>
      <cdr:sp macro="" textlink="">
        <cdr:nvSpPr>
          <cdr:cNvPr id="3" name="TextBox 37"/>
          <cdr:cNvSpPr txBox="1"/>
        </cdr:nvSpPr>
        <cdr:spPr>
          <a:xfrm xmlns:a="http://schemas.openxmlformats.org/drawingml/2006/main">
            <a:off x="2879213" y="461290"/>
            <a:ext cx="1424726" cy="180974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400" b="1"/>
              <a:t>2DO TURNO</a:t>
            </a:r>
          </a:p>
        </cdr:txBody>
      </cdr:sp>
      <cdr:sp macro="" textlink="">
        <cdr:nvSpPr>
          <cdr:cNvPr id="4" name="TextBox 35"/>
          <cdr:cNvSpPr txBox="1"/>
        </cdr:nvSpPr>
        <cdr:spPr>
          <a:xfrm xmlns:a="http://schemas.openxmlformats.org/drawingml/2006/main">
            <a:off x="482104" y="3201761"/>
            <a:ext cx="1905184" cy="32657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800" b="1"/>
              <a:t>DEFECTOS:1395</a:t>
            </a:r>
            <a:endParaRPr lang="en-US" sz="1600" b="1"/>
          </a:p>
        </cdr:txBody>
      </cdr:sp>
      <cdr:sp macro="" textlink="">
        <cdr:nvSpPr>
          <cdr:cNvPr id="5" name="TextBox 35"/>
          <cdr:cNvSpPr txBox="1"/>
        </cdr:nvSpPr>
        <cdr:spPr>
          <a:xfrm xmlns:a="http://schemas.openxmlformats.org/drawingml/2006/main">
            <a:off x="2676656" y="3211285"/>
            <a:ext cx="1880885" cy="272149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800" b="1"/>
              <a:t>DEFECTOS:</a:t>
            </a:r>
            <a:r>
              <a:rPr lang="en-US" sz="1800" b="1" baseline="0"/>
              <a:t> 1429</a:t>
            </a:r>
            <a:endParaRPr lang="en-US" sz="1600" b="1"/>
          </a:p>
        </cdr:txBody>
      </cdr:sp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0.09226</cdr:x>
      <cdr:y>0.0888</cdr:y>
    </cdr:from>
    <cdr:to>
      <cdr:x>0.94137</cdr:x>
      <cdr:y>0.98745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F6626945-848B-4C7D-8AB6-9FF4B27FC3C4}"/>
            </a:ext>
          </a:extLst>
        </cdr:cNvPr>
        <cdr:cNvGrpSpPr/>
      </cdr:nvGrpSpPr>
      <cdr:grpSpPr>
        <a:xfrm xmlns:a="http://schemas.openxmlformats.org/drawingml/2006/main">
          <a:off x="440332" y="294732"/>
          <a:ext cx="4052575" cy="2982668"/>
          <a:chOff x="421822" y="312965"/>
          <a:chExt cx="3882117" cy="3167062"/>
        </a:xfrm>
      </cdr:grpSpPr>
      <cdr:sp macro="" textlink="">
        <cdr:nvSpPr>
          <cdr:cNvPr id="2" name="TextBox 36"/>
          <cdr:cNvSpPr txBox="1"/>
        </cdr:nvSpPr>
        <cdr:spPr>
          <a:xfrm xmlns:a="http://schemas.openxmlformats.org/drawingml/2006/main">
            <a:off x="421822" y="326571"/>
            <a:ext cx="1129397" cy="24354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200" b="1"/>
              <a:t>1ER TURNO</a:t>
            </a:r>
          </a:p>
        </cdr:txBody>
      </cdr:sp>
      <cdr:sp macro="" textlink="">
        <cdr:nvSpPr>
          <cdr:cNvPr id="3" name="TextBox 37"/>
          <cdr:cNvSpPr txBox="1"/>
        </cdr:nvSpPr>
        <cdr:spPr>
          <a:xfrm xmlns:a="http://schemas.openxmlformats.org/drawingml/2006/main">
            <a:off x="3265714" y="312965"/>
            <a:ext cx="1038225" cy="204788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200" b="1"/>
              <a:t>2DO TURNO</a:t>
            </a:r>
          </a:p>
        </cdr:txBody>
      </cdr:sp>
      <cdr:sp macro="" textlink="">
        <cdr:nvSpPr>
          <cdr:cNvPr id="4" name="TextBox 35"/>
          <cdr:cNvSpPr txBox="1"/>
        </cdr:nvSpPr>
        <cdr:spPr>
          <a:xfrm xmlns:a="http://schemas.openxmlformats.org/drawingml/2006/main">
            <a:off x="612320" y="3135553"/>
            <a:ext cx="1333504" cy="31726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400" b="1"/>
              <a:t>DEFECTOS:</a:t>
            </a:r>
            <a:r>
              <a:rPr lang="en-US" sz="1400" b="1" baseline="0"/>
              <a:t> 77</a:t>
            </a:r>
            <a:endParaRPr lang="en-US" sz="1400" b="1"/>
          </a:p>
        </cdr:txBody>
      </cdr:sp>
      <cdr:sp macro="" textlink="">
        <cdr:nvSpPr>
          <cdr:cNvPr id="5" name="TextBox 35"/>
          <cdr:cNvSpPr txBox="1"/>
        </cdr:nvSpPr>
        <cdr:spPr>
          <a:xfrm xmlns:a="http://schemas.openxmlformats.org/drawingml/2006/main">
            <a:off x="2871106" y="3148510"/>
            <a:ext cx="1336902" cy="33151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400" b="1"/>
              <a:t>DEFECTOS:73</a:t>
            </a:r>
            <a:endParaRPr lang="en-US" sz="1100" b="1"/>
          </a:p>
        </cdr:txBody>
      </cdr:sp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0.09226</cdr:x>
      <cdr:y>0.0888</cdr:y>
    </cdr:from>
    <cdr:to>
      <cdr:x>0.94137</cdr:x>
      <cdr:y>0.98745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38CBC3A2-35DB-4153-A774-C215C25737F5}"/>
            </a:ext>
          </a:extLst>
        </cdr:cNvPr>
        <cdr:cNvGrpSpPr/>
      </cdr:nvGrpSpPr>
      <cdr:grpSpPr>
        <a:xfrm xmlns:a="http://schemas.openxmlformats.org/drawingml/2006/main">
          <a:off x="413376" y="378347"/>
          <a:ext cx="3804487" cy="3828850"/>
          <a:chOff x="421822" y="312965"/>
          <a:chExt cx="3882117" cy="3167062"/>
        </a:xfrm>
      </cdr:grpSpPr>
      <cdr:sp macro="" textlink="">
        <cdr:nvSpPr>
          <cdr:cNvPr id="2" name="TextBox 36"/>
          <cdr:cNvSpPr txBox="1"/>
        </cdr:nvSpPr>
        <cdr:spPr>
          <a:xfrm xmlns:a="http://schemas.openxmlformats.org/drawingml/2006/main">
            <a:off x="421822" y="326571"/>
            <a:ext cx="1129397" cy="24354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400" b="1"/>
              <a:t>1ER TURNO</a:t>
            </a:r>
          </a:p>
        </cdr:txBody>
      </cdr:sp>
      <cdr:sp macro="" textlink="">
        <cdr:nvSpPr>
          <cdr:cNvPr id="3" name="TextBox 37"/>
          <cdr:cNvSpPr txBox="1"/>
        </cdr:nvSpPr>
        <cdr:spPr>
          <a:xfrm xmlns:a="http://schemas.openxmlformats.org/drawingml/2006/main">
            <a:off x="2888343" y="312965"/>
            <a:ext cx="1415596" cy="202562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400" b="1"/>
              <a:t>2DO TURNO</a:t>
            </a:r>
          </a:p>
        </cdr:txBody>
      </cdr:sp>
      <cdr:sp macro="" textlink="">
        <cdr:nvSpPr>
          <cdr:cNvPr id="4" name="TextBox 35"/>
          <cdr:cNvSpPr txBox="1"/>
        </cdr:nvSpPr>
        <cdr:spPr>
          <a:xfrm xmlns:a="http://schemas.openxmlformats.org/drawingml/2006/main">
            <a:off x="612318" y="3135553"/>
            <a:ext cx="1753510" cy="31726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800" b="1"/>
              <a:t>DEFECTOS:</a:t>
            </a:r>
            <a:r>
              <a:rPr lang="en-US" sz="1800" b="1" baseline="0"/>
              <a:t> 58</a:t>
            </a:r>
            <a:endParaRPr lang="en-US" sz="1800" b="1"/>
          </a:p>
        </cdr:txBody>
      </cdr:sp>
      <cdr:sp macro="" textlink="">
        <cdr:nvSpPr>
          <cdr:cNvPr id="5" name="TextBox 35"/>
          <cdr:cNvSpPr txBox="1"/>
        </cdr:nvSpPr>
        <cdr:spPr>
          <a:xfrm xmlns:a="http://schemas.openxmlformats.org/drawingml/2006/main">
            <a:off x="2496459" y="3148510"/>
            <a:ext cx="1711550" cy="33151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  <a:effectLst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ysClr val="windowText" lastClr="000000"/>
                </a:solidFill>
                <a:latin typeface="Calibri"/>
              </a:defRPr>
            </a:lvl1pPr>
            <a:lvl2pPr marL="457200" indent="0">
              <a:defRPr sz="1100">
                <a:solidFill>
                  <a:sysClr val="windowText" lastClr="000000"/>
                </a:solidFill>
                <a:latin typeface="Calibri"/>
              </a:defRPr>
            </a:lvl2pPr>
            <a:lvl3pPr marL="914400" indent="0">
              <a:defRPr sz="1100">
                <a:solidFill>
                  <a:sysClr val="windowText" lastClr="000000"/>
                </a:solidFill>
                <a:latin typeface="Calibri"/>
              </a:defRPr>
            </a:lvl3pPr>
            <a:lvl4pPr marL="1371600" indent="0">
              <a:defRPr sz="1100">
                <a:solidFill>
                  <a:sysClr val="windowText" lastClr="000000"/>
                </a:solidFill>
                <a:latin typeface="Calibri"/>
              </a:defRPr>
            </a:lvl4pPr>
            <a:lvl5pPr marL="1828800" indent="0">
              <a:defRPr sz="1100">
                <a:solidFill>
                  <a:sysClr val="windowText" lastClr="000000"/>
                </a:solidFill>
                <a:latin typeface="Calibri"/>
              </a:defRPr>
            </a:lvl5pPr>
            <a:lvl6pPr marL="2286000" indent="0">
              <a:defRPr sz="1100">
                <a:solidFill>
                  <a:sysClr val="windowText" lastClr="000000"/>
                </a:solidFill>
                <a:latin typeface="Calibri"/>
              </a:defRPr>
            </a:lvl6pPr>
            <a:lvl7pPr marL="2743200" indent="0">
              <a:defRPr sz="1100">
                <a:solidFill>
                  <a:sysClr val="windowText" lastClr="000000"/>
                </a:solidFill>
                <a:latin typeface="Calibri"/>
              </a:defRPr>
            </a:lvl7pPr>
            <a:lvl8pPr marL="3200400" indent="0">
              <a:defRPr sz="1100">
                <a:solidFill>
                  <a:sysClr val="windowText" lastClr="000000"/>
                </a:solidFill>
                <a:latin typeface="Calibri"/>
              </a:defRPr>
            </a:lvl8pPr>
            <a:lvl9pPr marL="3657600" indent="0">
              <a:defRPr sz="1100">
                <a:solidFill>
                  <a:sysClr val="windowText" lastClr="000000"/>
                </a:solidFill>
                <a:latin typeface="Calibri"/>
              </a:defRPr>
            </a:lvl9pPr>
          </a:lstStyle>
          <a:p xmlns:a="http://schemas.openxmlformats.org/drawingml/2006/main">
            <a:r>
              <a:rPr lang="en-US" sz="1800" b="1"/>
              <a:t>DEFECTOS:61</a:t>
            </a:r>
            <a:endParaRPr lang="en-US" sz="1400" b="1"/>
          </a:p>
        </cdr:txBody>
      </cdr:sp>
    </cdr:grp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0.83013</cdr:x>
      <cdr:y>0.06415</cdr:y>
    </cdr:from>
    <cdr:to>
      <cdr:x>0.89534</cdr:x>
      <cdr:y>0.13565</cdr:y>
    </cdr:to>
    <cdr:sp macro="" textlink="'DEFECTOS X MESA'!$D$95">
      <cdr:nvSpPr>
        <cdr:cNvPr id="2" name="TextBox 34"/>
        <cdr:cNvSpPr txBox="1"/>
      </cdr:nvSpPr>
      <cdr:spPr>
        <a:xfrm xmlns:a="http://schemas.openxmlformats.org/drawingml/2006/main">
          <a:off x="3840538" y="335673"/>
          <a:ext cx="301686" cy="3741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fld id="{9A30B3E3-E880-4FA7-B7B5-9BAAE718AE95}" type="TxLink">
            <a:rPr lang="en-US" sz="1800" b="1">
              <a:solidFill>
                <a:srgbClr val="FF0000"/>
              </a:solidFill>
            </a:rPr>
            <a:pPr/>
            <a:t>267</a:t>
          </a:fld>
          <a:endParaRPr lang="en-US" sz="18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0.22842</cdr:x>
      <cdr:y>0.92459</cdr:y>
    </cdr:from>
    <cdr:to>
      <cdr:x>0.80849</cdr:x>
      <cdr:y>0.9818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9871" y="4838021"/>
          <a:ext cx="2843893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MESAS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0.55536</cdr:x>
      <cdr:y>0.06155</cdr:y>
    </cdr:from>
    <cdr:to>
      <cdr:x>0.6169</cdr:x>
      <cdr:y>0.13305</cdr:y>
    </cdr:to>
    <cdr:sp macro="" textlink="'DEFECTOS X MESA'!$E$95">
      <cdr:nvSpPr>
        <cdr:cNvPr id="2" name="TextBox 34"/>
        <cdr:cNvSpPr txBox="1"/>
      </cdr:nvSpPr>
      <cdr:spPr>
        <a:xfrm xmlns:a="http://schemas.openxmlformats.org/drawingml/2006/main">
          <a:off x="2722738" y="322068"/>
          <a:ext cx="301686" cy="3741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fld id="{60189F78-7E55-4EE4-95F7-004E71777586}" type="TxLink">
            <a:rPr lang="en-US" sz="1800" b="1">
              <a:solidFill>
                <a:srgbClr val="FF0000"/>
              </a:solidFill>
            </a:rPr>
            <a:pPr/>
            <a:t>384</a:t>
          </a:fld>
          <a:endParaRPr lang="en-US" sz="18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0.22842</cdr:x>
      <cdr:y>0.92459</cdr:y>
    </cdr:from>
    <cdr:to>
      <cdr:x>0.80849</cdr:x>
      <cdr:y>0.9818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9871" y="4838021"/>
          <a:ext cx="2843893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MESAS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0.7996</cdr:x>
      <cdr:y>0.06415</cdr:y>
    </cdr:from>
    <cdr:to>
      <cdr:x>0.86114</cdr:x>
      <cdr:y>0.13565</cdr:y>
    </cdr:to>
    <cdr:sp macro="" textlink="'DEFECTOS X MESA'!$D$191">
      <cdr:nvSpPr>
        <cdr:cNvPr id="2" name="TextBox 34"/>
        <cdr:cNvSpPr txBox="1"/>
      </cdr:nvSpPr>
      <cdr:spPr>
        <a:xfrm xmlns:a="http://schemas.openxmlformats.org/drawingml/2006/main">
          <a:off x="3920163" y="335673"/>
          <a:ext cx="301686" cy="3741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fld id="{F27AD63E-E770-4ABC-B4FB-DC0E088B2105}" type="TxLink">
            <a:rPr lang="en-US" sz="1800" b="1">
              <a:solidFill>
                <a:srgbClr val="FF0000"/>
              </a:solidFill>
            </a:rPr>
            <a:pPr/>
            <a:t>3947</a:t>
          </a:fld>
          <a:endParaRPr lang="en-US" sz="18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0.22842</cdr:x>
      <cdr:y>0.92459</cdr:y>
    </cdr:from>
    <cdr:to>
      <cdr:x>0.80849</cdr:x>
      <cdr:y>0.9818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9871" y="4838021"/>
          <a:ext cx="2843893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MESAS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0.55536</cdr:x>
      <cdr:y>0.06155</cdr:y>
    </cdr:from>
    <cdr:to>
      <cdr:x>0.61876</cdr:x>
      <cdr:y>0.13305</cdr:y>
    </cdr:to>
    <cdr:sp macro="" textlink="'DEFECTOS X MESA'!$E$191">
      <cdr:nvSpPr>
        <cdr:cNvPr id="2" name="TextBox 34"/>
        <cdr:cNvSpPr txBox="1"/>
      </cdr:nvSpPr>
      <cdr:spPr>
        <a:xfrm xmlns:a="http://schemas.openxmlformats.org/drawingml/2006/main">
          <a:off x="2642634" y="322068"/>
          <a:ext cx="301686" cy="3741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fld id="{693092C2-0564-45F8-88F3-2081C6E8EB1B}" type="TxLink">
            <a:rPr lang="en-US" sz="1800" b="1">
              <a:solidFill>
                <a:srgbClr val="FF0000"/>
              </a:solidFill>
            </a:rPr>
            <a:pPr/>
            <a:t>5684</a:t>
          </a:fld>
          <a:endParaRPr lang="en-US" sz="18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0.22842</cdr:x>
      <cdr:y>0.92459</cdr:y>
    </cdr:from>
    <cdr:to>
      <cdr:x>0.80849</cdr:x>
      <cdr:y>0.9818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9871" y="4838021"/>
          <a:ext cx="2843893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MESAS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0.22842</cdr:x>
      <cdr:y>0.92459</cdr:y>
    </cdr:from>
    <cdr:to>
      <cdr:x>0.80849</cdr:x>
      <cdr:y>0.9818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9871" y="4838021"/>
          <a:ext cx="2843893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MESAS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0.22842</cdr:x>
      <cdr:y>0.92459</cdr:y>
    </cdr:from>
    <cdr:to>
      <cdr:x>0.80849</cdr:x>
      <cdr:y>0.9818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9871" y="4838021"/>
          <a:ext cx="2843893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MESAS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0.22842</cdr:x>
      <cdr:y>0.92459</cdr:y>
    </cdr:from>
    <cdr:to>
      <cdr:x>0.80849</cdr:x>
      <cdr:y>0.9818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9871" y="4838021"/>
          <a:ext cx="2843893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MESAS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0.22842</cdr:x>
      <cdr:y>0.92459</cdr:y>
    </cdr:from>
    <cdr:to>
      <cdr:x>0.80849</cdr:x>
      <cdr:y>0.9818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19871" y="4838021"/>
          <a:ext cx="2843893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MESAS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37111</xdr:colOff>
      <xdr:row>2</xdr:row>
      <xdr:rowOff>11134</xdr:rowOff>
    </xdr:from>
    <xdr:to>
      <xdr:col>16</xdr:col>
      <xdr:colOff>585107</xdr:colOff>
      <xdr:row>24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40823</xdr:colOff>
      <xdr:row>2</xdr:row>
      <xdr:rowOff>18308</xdr:rowOff>
    </xdr:from>
    <xdr:to>
      <xdr:col>24</xdr:col>
      <xdr:colOff>585107</xdr:colOff>
      <xdr:row>24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37111</xdr:colOff>
      <xdr:row>103</xdr:row>
      <xdr:rowOff>11134</xdr:rowOff>
    </xdr:from>
    <xdr:to>
      <xdr:col>16</xdr:col>
      <xdr:colOff>585107</xdr:colOff>
      <xdr:row>125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40823</xdr:colOff>
      <xdr:row>103</xdr:row>
      <xdr:rowOff>18308</xdr:rowOff>
    </xdr:from>
    <xdr:to>
      <xdr:col>24</xdr:col>
      <xdr:colOff>585107</xdr:colOff>
      <xdr:row>125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12</xdr:col>
      <xdr:colOff>122464</xdr:colOff>
      <xdr:row>3</xdr:row>
      <xdr:rowOff>163285</xdr:rowOff>
    </xdr:from>
    <xdr:ext cx="301686" cy="374141"/>
    <xdr:sp macro="" textlink="$J$5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1049000" y="979714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401E90AB-B2F4-4A51-97BD-DDAAD5C88205}" type="TxLink">
            <a:rPr lang="en-US" sz="1800" b="1">
              <a:solidFill>
                <a:srgbClr val="FF0000"/>
              </a:solidFill>
            </a:rPr>
            <a:pPr/>
            <a:t>117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258535</xdr:colOff>
      <xdr:row>3</xdr:row>
      <xdr:rowOff>163285</xdr:rowOff>
    </xdr:from>
    <xdr:ext cx="301686" cy="374141"/>
    <xdr:sp macro="" textlink="$J$13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3022035" y="979714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43856E23-2E4F-4F44-8FF5-D94EAE8980DD}" type="TxLink">
            <a:rPr lang="en-US" sz="1800" b="1">
              <a:solidFill>
                <a:srgbClr val="FF0000"/>
              </a:solidFill>
            </a:rPr>
            <a:pPr/>
            <a:t>279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21</xdr:col>
      <xdr:colOff>380999</xdr:colOff>
      <xdr:row>3</xdr:row>
      <xdr:rowOff>122463</xdr:rowOff>
    </xdr:from>
    <xdr:ext cx="301686" cy="374141"/>
    <xdr:sp macro="" textlink="$J$20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6818428" y="938892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2BC9070E-2C07-4142-874C-60183CCFC06D}" type="TxLink">
            <a:rPr lang="en-US" sz="1800" b="1">
              <a:solidFill>
                <a:srgbClr val="FF0000"/>
              </a:solidFill>
            </a:rPr>
            <a:pPr/>
            <a:t>396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217713</xdr:colOff>
      <xdr:row>104</xdr:row>
      <xdr:rowOff>163286</xdr:rowOff>
    </xdr:from>
    <xdr:ext cx="301686" cy="374141"/>
    <xdr:sp macro="" textlink="$J$106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1144249" y="25703893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E7F48AF6-0116-4E44-A1B7-AF1472F0BA57}" type="TxLink">
            <a:rPr lang="en-US" sz="1800" b="1">
              <a:solidFill>
                <a:srgbClr val="FF0000"/>
              </a:solidFill>
            </a:rPr>
            <a:pPr/>
            <a:t>1609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353784</xdr:colOff>
      <xdr:row>104</xdr:row>
      <xdr:rowOff>163286</xdr:rowOff>
    </xdr:from>
    <xdr:ext cx="301686" cy="374141"/>
    <xdr:sp macro="" textlink="$J$114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3117284" y="25703893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56D9C76E-DDE9-4E02-AB70-137CA1F4CD39}" type="TxLink">
            <a:rPr lang="en-US" sz="1800" b="1">
              <a:solidFill>
                <a:srgbClr val="FF0000"/>
              </a:solidFill>
            </a:rPr>
            <a:pPr/>
            <a:t>3598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21</xdr:col>
      <xdr:colOff>476248</xdr:colOff>
      <xdr:row>104</xdr:row>
      <xdr:rowOff>122464</xdr:rowOff>
    </xdr:from>
    <xdr:ext cx="301686" cy="374141"/>
    <xdr:sp macro="" textlink="$J$121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16913677" y="25663071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842AC6F5-B48A-4190-AFD6-FDBA6AFFB9CF}" type="TxLink">
            <a:rPr lang="en-US" sz="1800" b="1">
              <a:solidFill>
                <a:srgbClr val="FF0000"/>
              </a:solidFill>
            </a:rPr>
            <a:pPr/>
            <a:t>5207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</xdr:row>
      <xdr:rowOff>76200</xdr:rowOff>
    </xdr:from>
    <xdr:to>
      <xdr:col>9</xdr:col>
      <xdr:colOff>9525</xdr:colOff>
      <xdr:row>4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95250" y="838200"/>
          <a:ext cx="5400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</xdr:row>
      <xdr:rowOff>76200</xdr:rowOff>
    </xdr:from>
    <xdr:to>
      <xdr:col>9</xdr:col>
      <xdr:colOff>0</xdr:colOff>
      <xdr:row>4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95250" y="838200"/>
          <a:ext cx="54578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91540</xdr:colOff>
      <xdr:row>2</xdr:row>
      <xdr:rowOff>24741</xdr:rowOff>
    </xdr:from>
    <xdr:to>
      <xdr:col>19</xdr:col>
      <xdr:colOff>27214</xdr:colOff>
      <xdr:row>24</xdr:row>
      <xdr:rowOff>13608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7365D-81F9-47E0-A5AE-40C2097A3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40823</xdr:colOff>
      <xdr:row>2</xdr:row>
      <xdr:rowOff>18308</xdr:rowOff>
    </xdr:from>
    <xdr:to>
      <xdr:col>26</xdr:col>
      <xdr:colOff>585107</xdr:colOff>
      <xdr:row>24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C696BD-3764-4126-A709-941E99D3F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118740</xdr:colOff>
      <xdr:row>102</xdr:row>
      <xdr:rowOff>201634</xdr:rowOff>
    </xdr:from>
    <xdr:to>
      <xdr:col>19</xdr:col>
      <xdr:colOff>13607</xdr:colOff>
      <xdr:row>124</xdr:row>
      <xdr:rowOff>231321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E6B7B0-2A23-41EA-91CF-6BE0B7652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27203</xdr:colOff>
      <xdr:row>102</xdr:row>
      <xdr:rowOff>195201</xdr:rowOff>
    </xdr:from>
    <xdr:to>
      <xdr:col>26</xdr:col>
      <xdr:colOff>571487</xdr:colOff>
      <xdr:row>124</xdr:row>
      <xdr:rowOff>217714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60C4C8-5A6D-4392-A4D6-478EB79C8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530681</xdr:colOff>
      <xdr:row>3</xdr:row>
      <xdr:rowOff>176892</xdr:rowOff>
    </xdr:from>
    <xdr:ext cx="301686" cy="374141"/>
    <xdr:sp macro="" textlink="$J$10">
      <xdr:nvSpPr>
        <xdr:cNvPr id="6" name="TextBox 5">
          <a:extLst>
            <a:ext uri="{FF2B5EF4-FFF2-40B4-BE49-F238E27FC236}">
              <a16:creationId xmlns:a16="http://schemas.microsoft.com/office/drawing/2014/main" id="{3FAC8A65-EFC3-4AC2-8EE5-95A5DBFE73F6}"/>
            </a:ext>
          </a:extLst>
        </xdr:cNvPr>
        <xdr:cNvSpPr txBox="1"/>
      </xdr:nvSpPr>
      <xdr:spPr>
        <a:xfrm>
          <a:off x="8455481" y="748392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AF22C916-0962-44F7-906F-0F5E40DD5852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81644</xdr:colOff>
      <xdr:row>3</xdr:row>
      <xdr:rowOff>176891</xdr:rowOff>
    </xdr:from>
    <xdr:ext cx="301686" cy="374141"/>
    <xdr:sp macro="" textlink="$J$18">
      <xdr:nvSpPr>
        <xdr:cNvPr id="7" name="TextBox 6">
          <a:extLst>
            <a:ext uri="{FF2B5EF4-FFF2-40B4-BE49-F238E27FC236}">
              <a16:creationId xmlns:a16="http://schemas.microsoft.com/office/drawing/2014/main" id="{05BEE780-6DC1-44CD-BF48-5A311A620EE0}"/>
            </a:ext>
          </a:extLst>
        </xdr:cNvPr>
        <xdr:cNvSpPr txBox="1"/>
      </xdr:nvSpPr>
      <xdr:spPr>
        <a:xfrm>
          <a:off x="10444844" y="748391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FCAFDB3D-C028-4147-86D4-778BA23EB56A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24</xdr:col>
      <xdr:colOff>217715</xdr:colOff>
      <xdr:row>3</xdr:row>
      <xdr:rowOff>136069</xdr:rowOff>
    </xdr:from>
    <xdr:ext cx="301686" cy="374141"/>
    <xdr:sp macro="" textlink="$J$25">
      <xdr:nvSpPr>
        <xdr:cNvPr id="8" name="TextBox 7">
          <a:extLst>
            <a:ext uri="{FF2B5EF4-FFF2-40B4-BE49-F238E27FC236}">
              <a16:creationId xmlns:a16="http://schemas.microsoft.com/office/drawing/2014/main" id="{D44D193A-9277-48BB-879A-7BF9BA39B7F0}"/>
            </a:ext>
          </a:extLst>
        </xdr:cNvPr>
        <xdr:cNvSpPr txBox="1"/>
      </xdr:nvSpPr>
      <xdr:spPr>
        <a:xfrm>
          <a:off x="14848115" y="707569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E1ED2A3C-0FD2-468F-B9F8-ED1318CD0CDD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285738</xdr:colOff>
      <xdr:row>104</xdr:row>
      <xdr:rowOff>149679</xdr:rowOff>
    </xdr:from>
    <xdr:ext cx="301686" cy="374141"/>
    <xdr:sp macro="" textlink="$J$111">
      <xdr:nvSpPr>
        <xdr:cNvPr id="9" name="TextBox 8">
          <a:extLst>
            <a:ext uri="{FF2B5EF4-FFF2-40B4-BE49-F238E27FC236}">
              <a16:creationId xmlns:a16="http://schemas.microsoft.com/office/drawing/2014/main" id="{E26B4010-0F4F-4EF2-AC93-EB197DE92DFA}"/>
            </a:ext>
          </a:extLst>
        </xdr:cNvPr>
        <xdr:cNvSpPr txBox="1"/>
      </xdr:nvSpPr>
      <xdr:spPr>
        <a:xfrm>
          <a:off x="8820138" y="19961679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F5B94C4A-CF12-43F0-82E3-10A78FDD9A5F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312951</xdr:colOff>
      <xdr:row>104</xdr:row>
      <xdr:rowOff>163285</xdr:rowOff>
    </xdr:from>
    <xdr:ext cx="301686" cy="374141"/>
    <xdr:sp macro="" textlink="$J$119">
      <xdr:nvSpPr>
        <xdr:cNvPr id="10" name="TextBox 9">
          <a:extLst>
            <a:ext uri="{FF2B5EF4-FFF2-40B4-BE49-F238E27FC236}">
              <a16:creationId xmlns:a16="http://schemas.microsoft.com/office/drawing/2014/main" id="{48DBB750-D737-4B6A-B8B4-E142B735360C}"/>
            </a:ext>
          </a:extLst>
        </xdr:cNvPr>
        <xdr:cNvSpPr txBox="1"/>
      </xdr:nvSpPr>
      <xdr:spPr>
        <a:xfrm>
          <a:off x="10676151" y="19975285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888BC814-80C4-4F13-944C-7A676DB31A42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23</xdr:col>
      <xdr:colOff>408201</xdr:colOff>
      <xdr:row>104</xdr:row>
      <xdr:rowOff>95250</xdr:rowOff>
    </xdr:from>
    <xdr:ext cx="301686" cy="374141"/>
    <xdr:sp macro="" textlink="$J$126">
      <xdr:nvSpPr>
        <xdr:cNvPr id="11" name="TextBox 10">
          <a:extLst>
            <a:ext uri="{FF2B5EF4-FFF2-40B4-BE49-F238E27FC236}">
              <a16:creationId xmlns:a16="http://schemas.microsoft.com/office/drawing/2014/main" id="{B9599449-AE65-49A1-BFBA-31AE3802A76B}"/>
            </a:ext>
          </a:extLst>
        </xdr:cNvPr>
        <xdr:cNvSpPr txBox="1"/>
      </xdr:nvSpPr>
      <xdr:spPr>
        <a:xfrm>
          <a:off x="14429001" y="19907250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81BB1C1A-E059-4DD0-9009-39EF1F291349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27214</xdr:colOff>
      <xdr:row>5</xdr:row>
      <xdr:rowOff>38006</xdr:rowOff>
    </xdr:from>
    <xdr:ext cx="883361" cy="264560"/>
    <xdr:sp macro="" textlink="$K$5">
      <xdr:nvSpPr>
        <xdr:cNvPr id="12" name="TextBox 11">
          <a:extLst>
            <a:ext uri="{FF2B5EF4-FFF2-40B4-BE49-F238E27FC236}">
              <a16:creationId xmlns:a16="http://schemas.microsoft.com/office/drawing/2014/main" id="{98D0D7B7-177E-417D-AD55-173B7A1C21D1}"/>
            </a:ext>
          </a:extLst>
        </xdr:cNvPr>
        <xdr:cNvSpPr txBox="1"/>
      </xdr:nvSpPr>
      <xdr:spPr>
        <a:xfrm>
          <a:off x="6732814" y="990506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DDC6F2E-637F-4003-AE97-B315F460989B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19</xdr:col>
      <xdr:colOff>153126</xdr:colOff>
      <xdr:row>5</xdr:row>
      <xdr:rowOff>184200</xdr:rowOff>
    </xdr:from>
    <xdr:ext cx="835236" cy="283937"/>
    <xdr:sp macro="" textlink="$K$20">
      <xdr:nvSpPr>
        <xdr:cNvPr id="13" name="TextBox 12">
          <a:extLst>
            <a:ext uri="{FF2B5EF4-FFF2-40B4-BE49-F238E27FC236}">
              <a16:creationId xmlns:a16="http://schemas.microsoft.com/office/drawing/2014/main" id="{59537CD9-5FAC-468E-875A-C3A5155949DD}"/>
            </a:ext>
          </a:extLst>
        </xdr:cNvPr>
        <xdr:cNvSpPr txBox="1"/>
      </xdr:nvSpPr>
      <xdr:spPr>
        <a:xfrm>
          <a:off x="11735526" y="1136700"/>
          <a:ext cx="835236" cy="283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9507C1EF-8949-4E07-966C-5E2742D6358B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20</xdr:col>
      <xdr:colOff>391705</xdr:colOff>
      <xdr:row>5</xdr:row>
      <xdr:rowOff>177998</xdr:rowOff>
    </xdr:from>
    <xdr:ext cx="879940" cy="280205"/>
    <xdr:sp macro="" textlink="$K$21">
      <xdr:nvSpPr>
        <xdr:cNvPr id="14" name="TextBox 13">
          <a:extLst>
            <a:ext uri="{FF2B5EF4-FFF2-40B4-BE49-F238E27FC236}">
              <a16:creationId xmlns:a16="http://schemas.microsoft.com/office/drawing/2014/main" id="{83355788-5107-4E3F-A02A-A1A94D74A819}"/>
            </a:ext>
          </a:extLst>
        </xdr:cNvPr>
        <xdr:cNvSpPr txBox="1"/>
      </xdr:nvSpPr>
      <xdr:spPr>
        <a:xfrm>
          <a:off x="12583705" y="1130498"/>
          <a:ext cx="8799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A4965C90-BAAA-46BD-8D19-3D45FBB6BC22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22</xdr:col>
      <xdr:colOff>119562</xdr:colOff>
      <xdr:row>5</xdr:row>
      <xdr:rowOff>180718</xdr:rowOff>
    </xdr:from>
    <xdr:ext cx="850000" cy="280205"/>
    <xdr:sp macro="" textlink="$K$22">
      <xdr:nvSpPr>
        <xdr:cNvPr id="15" name="TextBox 14">
          <a:extLst>
            <a:ext uri="{FF2B5EF4-FFF2-40B4-BE49-F238E27FC236}">
              <a16:creationId xmlns:a16="http://schemas.microsoft.com/office/drawing/2014/main" id="{14D754C6-FD0B-41AC-9747-0A85A3FCB9A8}"/>
            </a:ext>
          </a:extLst>
        </xdr:cNvPr>
        <xdr:cNvSpPr txBox="1"/>
      </xdr:nvSpPr>
      <xdr:spPr>
        <a:xfrm>
          <a:off x="13530762" y="1133218"/>
          <a:ext cx="85000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DC2CB248-55A7-4A36-9711-572CEB6AB3B9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23</xdr:col>
      <xdr:colOff>421640</xdr:colOff>
      <xdr:row>5</xdr:row>
      <xdr:rowOff>188430</xdr:rowOff>
    </xdr:from>
    <xdr:ext cx="885376" cy="280205"/>
    <xdr:sp macro="" textlink="$K$23">
      <xdr:nvSpPr>
        <xdr:cNvPr id="16" name="TextBox 15">
          <a:extLst>
            <a:ext uri="{FF2B5EF4-FFF2-40B4-BE49-F238E27FC236}">
              <a16:creationId xmlns:a16="http://schemas.microsoft.com/office/drawing/2014/main" id="{59A97548-88CB-4F6D-A774-2F48373FB33E}"/>
            </a:ext>
          </a:extLst>
        </xdr:cNvPr>
        <xdr:cNvSpPr txBox="1"/>
      </xdr:nvSpPr>
      <xdr:spPr>
        <a:xfrm>
          <a:off x="14442440" y="1140930"/>
          <a:ext cx="88537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E96E3917-8909-4B6F-A6A2-CC9A0815B88E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25</xdr:col>
      <xdr:colOff>172418</xdr:colOff>
      <xdr:row>5</xdr:row>
      <xdr:rowOff>163338</xdr:rowOff>
    </xdr:from>
    <xdr:ext cx="904179" cy="280205"/>
    <xdr:sp macro="" textlink="$K$24">
      <xdr:nvSpPr>
        <xdr:cNvPr id="17" name="TextBox 16">
          <a:extLst>
            <a:ext uri="{FF2B5EF4-FFF2-40B4-BE49-F238E27FC236}">
              <a16:creationId xmlns:a16="http://schemas.microsoft.com/office/drawing/2014/main" id="{CECBF234-BE2A-4F7E-8960-E59303900E95}"/>
            </a:ext>
          </a:extLst>
        </xdr:cNvPr>
        <xdr:cNvSpPr txBox="1"/>
      </xdr:nvSpPr>
      <xdr:spPr>
        <a:xfrm>
          <a:off x="15412418" y="1115838"/>
          <a:ext cx="90417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081545F1-87E9-4C40-9F57-E24D0C063A3E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11</xdr:col>
      <xdr:colOff>492398</xdr:colOff>
      <xdr:row>5</xdr:row>
      <xdr:rowOff>204160</xdr:rowOff>
    </xdr:from>
    <xdr:ext cx="883361" cy="264560"/>
    <xdr:sp macro="" textlink="$K$6">
      <xdr:nvSpPr>
        <xdr:cNvPr id="18" name="TextBox 17">
          <a:extLst>
            <a:ext uri="{FF2B5EF4-FFF2-40B4-BE49-F238E27FC236}">
              <a16:creationId xmlns:a16="http://schemas.microsoft.com/office/drawing/2014/main" id="{89E1F048-9DD7-4C51-9F77-CC14C8BC8D21}"/>
            </a:ext>
          </a:extLst>
        </xdr:cNvPr>
        <xdr:cNvSpPr txBox="1"/>
      </xdr:nvSpPr>
      <xdr:spPr>
        <a:xfrm>
          <a:off x="7197998" y="1147135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1F7085A3-BA55-4AF7-8BD2-0F8E18B1E803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12</xdr:col>
      <xdr:colOff>324576</xdr:colOff>
      <xdr:row>6</xdr:row>
      <xdr:rowOff>137032</xdr:rowOff>
    </xdr:from>
    <xdr:ext cx="883361" cy="264560"/>
    <xdr:sp macro="" textlink="$K$7">
      <xdr:nvSpPr>
        <xdr:cNvPr id="19" name="TextBox 18">
          <a:extLst>
            <a:ext uri="{FF2B5EF4-FFF2-40B4-BE49-F238E27FC236}">
              <a16:creationId xmlns:a16="http://schemas.microsoft.com/office/drawing/2014/main" id="{BA890E73-1F15-408F-914D-F446242197AB}"/>
            </a:ext>
          </a:extLst>
        </xdr:cNvPr>
        <xdr:cNvSpPr txBox="1"/>
      </xdr:nvSpPr>
      <xdr:spPr>
        <a:xfrm>
          <a:off x="7639776" y="1280032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BF6001AB-FA32-4FD8-8B47-E9BE5AAF2D79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13</xdr:col>
      <xdr:colOff>169455</xdr:colOff>
      <xdr:row>7</xdr:row>
      <xdr:rowOff>69903</xdr:rowOff>
    </xdr:from>
    <xdr:ext cx="883361" cy="264560"/>
    <xdr:sp macro="" textlink="$K$8">
      <xdr:nvSpPr>
        <xdr:cNvPr id="20" name="TextBox 19">
          <a:extLst>
            <a:ext uri="{FF2B5EF4-FFF2-40B4-BE49-F238E27FC236}">
              <a16:creationId xmlns:a16="http://schemas.microsoft.com/office/drawing/2014/main" id="{E2FBD4D5-993A-47D9-996B-5BEBA387D10D}"/>
            </a:ext>
          </a:extLst>
        </xdr:cNvPr>
        <xdr:cNvSpPr txBox="1"/>
      </xdr:nvSpPr>
      <xdr:spPr>
        <a:xfrm>
          <a:off x="8094255" y="1403403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24C67545-2715-43EC-BEAF-906FC115F9A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14</xdr:col>
      <xdr:colOff>14333</xdr:colOff>
      <xdr:row>8</xdr:row>
      <xdr:rowOff>2775</xdr:rowOff>
    </xdr:from>
    <xdr:ext cx="883361" cy="264560"/>
    <xdr:sp macro="" textlink="$K$9">
      <xdr:nvSpPr>
        <xdr:cNvPr id="21" name="TextBox 20">
          <a:extLst>
            <a:ext uri="{FF2B5EF4-FFF2-40B4-BE49-F238E27FC236}">
              <a16:creationId xmlns:a16="http://schemas.microsoft.com/office/drawing/2014/main" id="{47E78D13-9CB2-4867-A50F-067F9CBE4168}"/>
            </a:ext>
          </a:extLst>
        </xdr:cNvPr>
        <xdr:cNvSpPr txBox="1"/>
      </xdr:nvSpPr>
      <xdr:spPr>
        <a:xfrm>
          <a:off x="8548733" y="1526775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B5182610-D8D9-42F2-A6C9-CE1345AB394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14</xdr:col>
      <xdr:colOff>458833</xdr:colOff>
      <xdr:row>5</xdr:row>
      <xdr:rowOff>88953</xdr:rowOff>
    </xdr:from>
    <xdr:ext cx="883361" cy="264560"/>
    <xdr:sp macro="" textlink="$K$13">
      <xdr:nvSpPr>
        <xdr:cNvPr id="22" name="TextBox 21">
          <a:extLst>
            <a:ext uri="{FF2B5EF4-FFF2-40B4-BE49-F238E27FC236}">
              <a16:creationId xmlns:a16="http://schemas.microsoft.com/office/drawing/2014/main" id="{B9F7D53D-5ECA-43C2-9FD0-E377FD8649CC}"/>
            </a:ext>
          </a:extLst>
        </xdr:cNvPr>
        <xdr:cNvSpPr txBox="1"/>
      </xdr:nvSpPr>
      <xdr:spPr>
        <a:xfrm>
          <a:off x="8993233" y="1041453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3251C7A4-A4AB-4E85-B330-B179E2C41DD9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15</xdr:col>
      <xdr:colOff>311696</xdr:colOff>
      <xdr:row>6</xdr:row>
      <xdr:rowOff>10179</xdr:rowOff>
    </xdr:from>
    <xdr:ext cx="883361" cy="264560"/>
    <xdr:sp macro="" textlink="$K$14">
      <xdr:nvSpPr>
        <xdr:cNvPr id="23" name="TextBox 22">
          <a:extLst>
            <a:ext uri="{FF2B5EF4-FFF2-40B4-BE49-F238E27FC236}">
              <a16:creationId xmlns:a16="http://schemas.microsoft.com/office/drawing/2014/main" id="{AEAFD653-9012-41AB-BB4C-043DE55B0C81}"/>
            </a:ext>
          </a:extLst>
        </xdr:cNvPr>
        <xdr:cNvSpPr txBox="1"/>
      </xdr:nvSpPr>
      <xdr:spPr>
        <a:xfrm>
          <a:off x="9455696" y="1153179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F5EA5E7-BFE2-4166-B832-C35E4F1F479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16</xdr:col>
      <xdr:colOff>143874</xdr:colOff>
      <xdr:row>6</xdr:row>
      <xdr:rowOff>187979</xdr:rowOff>
    </xdr:from>
    <xdr:ext cx="883361" cy="264560"/>
    <xdr:sp macro="" textlink="$K$15">
      <xdr:nvSpPr>
        <xdr:cNvPr id="24" name="TextBox 23">
          <a:extLst>
            <a:ext uri="{FF2B5EF4-FFF2-40B4-BE49-F238E27FC236}">
              <a16:creationId xmlns:a16="http://schemas.microsoft.com/office/drawing/2014/main" id="{2AD514C7-5057-4332-AD60-066AC71C2F0A}"/>
            </a:ext>
          </a:extLst>
        </xdr:cNvPr>
        <xdr:cNvSpPr txBox="1"/>
      </xdr:nvSpPr>
      <xdr:spPr>
        <a:xfrm>
          <a:off x="9897474" y="1330979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8B6BB9E6-F5AF-4002-B917-08F69C6D6807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16</xdr:col>
      <xdr:colOff>601074</xdr:colOff>
      <xdr:row>7</xdr:row>
      <xdr:rowOff>111325</xdr:rowOff>
    </xdr:from>
    <xdr:ext cx="883361" cy="264560"/>
    <xdr:sp macro="" textlink="$K$16">
      <xdr:nvSpPr>
        <xdr:cNvPr id="25" name="TextBox 24">
          <a:extLst>
            <a:ext uri="{FF2B5EF4-FFF2-40B4-BE49-F238E27FC236}">
              <a16:creationId xmlns:a16="http://schemas.microsoft.com/office/drawing/2014/main" id="{0D4444FD-70DA-4166-ABD4-3961583BA447}"/>
            </a:ext>
          </a:extLst>
        </xdr:cNvPr>
        <xdr:cNvSpPr txBox="1"/>
      </xdr:nvSpPr>
      <xdr:spPr>
        <a:xfrm>
          <a:off x="10354674" y="1444825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AE250762-8F59-41E2-ACCC-3FF5E14472E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17</xdr:col>
      <xdr:colOff>445953</xdr:colOff>
      <xdr:row>8</xdr:row>
      <xdr:rowOff>44197</xdr:rowOff>
    </xdr:from>
    <xdr:ext cx="883361" cy="264560"/>
    <xdr:sp macro="" textlink="$K$17">
      <xdr:nvSpPr>
        <xdr:cNvPr id="26" name="TextBox 25">
          <a:extLst>
            <a:ext uri="{FF2B5EF4-FFF2-40B4-BE49-F238E27FC236}">
              <a16:creationId xmlns:a16="http://schemas.microsoft.com/office/drawing/2014/main" id="{95863939-277A-4C4C-8CB0-E5CF003E5AF3}"/>
            </a:ext>
          </a:extLst>
        </xdr:cNvPr>
        <xdr:cNvSpPr txBox="1"/>
      </xdr:nvSpPr>
      <xdr:spPr>
        <a:xfrm>
          <a:off x="10809153" y="1568197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E317B03F-5E26-4E7A-8E72-B58C5A986D71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19</xdr:col>
      <xdr:colOff>95250</xdr:colOff>
      <xdr:row>106</xdr:row>
      <xdr:rowOff>124183</xdr:rowOff>
    </xdr:from>
    <xdr:ext cx="876058" cy="280205"/>
    <xdr:sp macro="" textlink="$K$121">
      <xdr:nvSpPr>
        <xdr:cNvPr id="27" name="TextBox 26">
          <a:extLst>
            <a:ext uri="{FF2B5EF4-FFF2-40B4-BE49-F238E27FC236}">
              <a16:creationId xmlns:a16="http://schemas.microsoft.com/office/drawing/2014/main" id="{0E399BBC-34BA-4616-82D6-CC8042492BF4}"/>
            </a:ext>
          </a:extLst>
        </xdr:cNvPr>
        <xdr:cNvSpPr txBox="1"/>
      </xdr:nvSpPr>
      <xdr:spPr>
        <a:xfrm>
          <a:off x="11677650" y="20317183"/>
          <a:ext cx="87605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8727361C-FA98-4172-A313-EEDA10A140B6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20</xdr:col>
      <xdr:colOff>471061</xdr:colOff>
      <xdr:row>106</xdr:row>
      <xdr:rowOff>117980</xdr:rowOff>
    </xdr:from>
    <xdr:ext cx="780808" cy="280205"/>
    <xdr:sp macro="" textlink="$K$122">
      <xdr:nvSpPr>
        <xdr:cNvPr id="28" name="TextBox 27">
          <a:extLst>
            <a:ext uri="{FF2B5EF4-FFF2-40B4-BE49-F238E27FC236}">
              <a16:creationId xmlns:a16="http://schemas.microsoft.com/office/drawing/2014/main" id="{CBEECBAC-CDCA-4DE0-88C9-23DB3E420C03}"/>
            </a:ext>
          </a:extLst>
        </xdr:cNvPr>
        <xdr:cNvSpPr txBox="1"/>
      </xdr:nvSpPr>
      <xdr:spPr>
        <a:xfrm>
          <a:off x="12663061" y="20310980"/>
          <a:ext cx="7808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3C121DA4-F74A-4EED-9BCC-567CF1CCE2D7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22</xdr:col>
      <xdr:colOff>163285</xdr:colOff>
      <xdr:row>106</xdr:row>
      <xdr:rowOff>111176</xdr:rowOff>
    </xdr:from>
    <xdr:ext cx="870865" cy="280205"/>
    <xdr:sp macro="" textlink="$K$123">
      <xdr:nvSpPr>
        <xdr:cNvPr id="29" name="TextBox 28">
          <a:extLst>
            <a:ext uri="{FF2B5EF4-FFF2-40B4-BE49-F238E27FC236}">
              <a16:creationId xmlns:a16="http://schemas.microsoft.com/office/drawing/2014/main" id="{A08BDCBF-A5D8-49D0-A499-2D35749E68AA}"/>
            </a:ext>
          </a:extLst>
        </xdr:cNvPr>
        <xdr:cNvSpPr txBox="1"/>
      </xdr:nvSpPr>
      <xdr:spPr>
        <a:xfrm>
          <a:off x="13574485" y="20304176"/>
          <a:ext cx="87086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9AFDD56F-C072-4089-9A6E-1A8348C0A5FF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23</xdr:col>
      <xdr:colOff>399142</xdr:colOff>
      <xdr:row>106</xdr:row>
      <xdr:rowOff>141113</xdr:rowOff>
    </xdr:from>
    <xdr:ext cx="875399" cy="280205"/>
    <xdr:sp macro="" textlink="$K$124">
      <xdr:nvSpPr>
        <xdr:cNvPr id="30" name="TextBox 29">
          <a:extLst>
            <a:ext uri="{FF2B5EF4-FFF2-40B4-BE49-F238E27FC236}">
              <a16:creationId xmlns:a16="http://schemas.microsoft.com/office/drawing/2014/main" id="{66AE79CE-DAEA-4126-A321-30D9FD2A57DC}"/>
            </a:ext>
          </a:extLst>
        </xdr:cNvPr>
        <xdr:cNvSpPr txBox="1"/>
      </xdr:nvSpPr>
      <xdr:spPr>
        <a:xfrm>
          <a:off x="14419942" y="20334113"/>
          <a:ext cx="87539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5A0168CA-6738-402E-9C9C-F482A83682F8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25</xdr:col>
      <xdr:colOff>155366</xdr:colOff>
      <xdr:row>106</xdr:row>
      <xdr:rowOff>138845</xdr:rowOff>
    </xdr:from>
    <xdr:ext cx="780808" cy="280205"/>
    <xdr:sp macro="" textlink="$K$125">
      <xdr:nvSpPr>
        <xdr:cNvPr id="31" name="TextBox 30">
          <a:extLst>
            <a:ext uri="{FF2B5EF4-FFF2-40B4-BE49-F238E27FC236}">
              <a16:creationId xmlns:a16="http://schemas.microsoft.com/office/drawing/2014/main" id="{46409F88-6119-4444-883A-6E03C2A1ACFD}"/>
            </a:ext>
          </a:extLst>
        </xdr:cNvPr>
        <xdr:cNvSpPr txBox="1"/>
      </xdr:nvSpPr>
      <xdr:spPr>
        <a:xfrm>
          <a:off x="15395366" y="20331845"/>
          <a:ext cx="7808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3E0F3150-6876-4237-95EF-E1573CE5241E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10</xdr:col>
      <xdr:colOff>0</xdr:colOff>
      <xdr:row>105</xdr:row>
      <xdr:rowOff>176945</xdr:rowOff>
    </xdr:from>
    <xdr:ext cx="883361" cy="264560"/>
    <xdr:sp macro="" textlink="$K$106">
      <xdr:nvSpPr>
        <xdr:cNvPr id="32" name="TextBox 31">
          <a:extLst>
            <a:ext uri="{FF2B5EF4-FFF2-40B4-BE49-F238E27FC236}">
              <a16:creationId xmlns:a16="http://schemas.microsoft.com/office/drawing/2014/main" id="{862B395F-C027-412A-BC89-E6D08C112527}"/>
            </a:ext>
          </a:extLst>
        </xdr:cNvPr>
        <xdr:cNvSpPr txBox="1"/>
      </xdr:nvSpPr>
      <xdr:spPr>
        <a:xfrm>
          <a:off x="6096000" y="20179445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92242038-2B1A-4650-A96F-958670A89B1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11</xdr:col>
      <xdr:colOff>465184</xdr:colOff>
      <xdr:row>106</xdr:row>
      <xdr:rowOff>98171</xdr:rowOff>
    </xdr:from>
    <xdr:ext cx="883361" cy="264560"/>
    <xdr:sp macro="" textlink="$K$107">
      <xdr:nvSpPr>
        <xdr:cNvPr id="33" name="TextBox 32">
          <a:extLst>
            <a:ext uri="{FF2B5EF4-FFF2-40B4-BE49-F238E27FC236}">
              <a16:creationId xmlns:a16="http://schemas.microsoft.com/office/drawing/2014/main" id="{F8B74C24-C9D7-4E1E-8CD0-62E53CDD8A5B}"/>
            </a:ext>
          </a:extLst>
        </xdr:cNvPr>
        <xdr:cNvSpPr txBox="1"/>
      </xdr:nvSpPr>
      <xdr:spPr>
        <a:xfrm>
          <a:off x="7170784" y="20291171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DB2A6D38-E74D-48CB-A552-6DC161D2F9EA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12</xdr:col>
      <xdr:colOff>297362</xdr:colOff>
      <xdr:row>107</xdr:row>
      <xdr:rowOff>31042</xdr:rowOff>
    </xdr:from>
    <xdr:ext cx="883361" cy="264560"/>
    <xdr:sp macro="" textlink="$K$108">
      <xdr:nvSpPr>
        <xdr:cNvPr id="34" name="TextBox 33">
          <a:extLst>
            <a:ext uri="{FF2B5EF4-FFF2-40B4-BE49-F238E27FC236}">
              <a16:creationId xmlns:a16="http://schemas.microsoft.com/office/drawing/2014/main" id="{5EF868B3-84DB-4C5A-963D-6461B6EBB283}"/>
            </a:ext>
          </a:extLst>
        </xdr:cNvPr>
        <xdr:cNvSpPr txBox="1"/>
      </xdr:nvSpPr>
      <xdr:spPr>
        <a:xfrm>
          <a:off x="7612562" y="20414542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035F8E6C-CEBB-4A33-B724-96CB670DE42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13</xdr:col>
      <xdr:colOff>142241</xdr:colOff>
      <xdr:row>107</xdr:row>
      <xdr:rowOff>208842</xdr:rowOff>
    </xdr:from>
    <xdr:ext cx="883361" cy="264560"/>
    <xdr:sp macro="" textlink="$K$109">
      <xdr:nvSpPr>
        <xdr:cNvPr id="35" name="TextBox 34">
          <a:extLst>
            <a:ext uri="{FF2B5EF4-FFF2-40B4-BE49-F238E27FC236}">
              <a16:creationId xmlns:a16="http://schemas.microsoft.com/office/drawing/2014/main" id="{47A40FD0-E7BB-4EE4-9E00-4FF4AF61AD27}"/>
            </a:ext>
          </a:extLst>
        </xdr:cNvPr>
        <xdr:cNvSpPr txBox="1"/>
      </xdr:nvSpPr>
      <xdr:spPr>
        <a:xfrm>
          <a:off x="8067041" y="20573292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C788F029-D218-4E9C-BB21-F2418FA836DC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13</xdr:col>
      <xdr:colOff>599441</xdr:colOff>
      <xdr:row>108</xdr:row>
      <xdr:rowOff>141714</xdr:rowOff>
    </xdr:from>
    <xdr:ext cx="883361" cy="264560"/>
    <xdr:sp macro="" textlink="$K$110">
      <xdr:nvSpPr>
        <xdr:cNvPr id="36" name="TextBox 35">
          <a:extLst>
            <a:ext uri="{FF2B5EF4-FFF2-40B4-BE49-F238E27FC236}">
              <a16:creationId xmlns:a16="http://schemas.microsoft.com/office/drawing/2014/main" id="{D3EEE823-744B-48D6-923E-7FEAC02FDC93}"/>
            </a:ext>
          </a:extLst>
        </xdr:cNvPr>
        <xdr:cNvSpPr txBox="1"/>
      </xdr:nvSpPr>
      <xdr:spPr>
        <a:xfrm>
          <a:off x="8524241" y="2071571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ACF2BCDE-6438-4F0F-917C-87B979E33E1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14</xdr:col>
      <xdr:colOff>431619</xdr:colOff>
      <xdr:row>105</xdr:row>
      <xdr:rowOff>227892</xdr:rowOff>
    </xdr:from>
    <xdr:ext cx="883361" cy="264560"/>
    <xdr:sp macro="" textlink="$K$114">
      <xdr:nvSpPr>
        <xdr:cNvPr id="37" name="TextBox 36">
          <a:extLst>
            <a:ext uri="{FF2B5EF4-FFF2-40B4-BE49-F238E27FC236}">
              <a16:creationId xmlns:a16="http://schemas.microsoft.com/office/drawing/2014/main" id="{35F35563-0F57-4D8F-81E7-C655EC355935}"/>
            </a:ext>
          </a:extLst>
        </xdr:cNvPr>
        <xdr:cNvSpPr txBox="1"/>
      </xdr:nvSpPr>
      <xdr:spPr>
        <a:xfrm>
          <a:off x="8966019" y="20192292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EF22F3A2-64B8-4186-9813-4BFA136F1C0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15</xdr:col>
      <xdr:colOff>284482</xdr:colOff>
      <xdr:row>106</xdr:row>
      <xdr:rowOff>139593</xdr:rowOff>
    </xdr:from>
    <xdr:ext cx="883361" cy="264560"/>
    <xdr:sp macro="" textlink="$K$115">
      <xdr:nvSpPr>
        <xdr:cNvPr id="38" name="TextBox 37">
          <a:extLst>
            <a:ext uri="{FF2B5EF4-FFF2-40B4-BE49-F238E27FC236}">
              <a16:creationId xmlns:a16="http://schemas.microsoft.com/office/drawing/2014/main" id="{8C69356E-0B21-4D7B-91C9-031594FDCE30}"/>
            </a:ext>
          </a:extLst>
        </xdr:cNvPr>
        <xdr:cNvSpPr txBox="1"/>
      </xdr:nvSpPr>
      <xdr:spPr>
        <a:xfrm>
          <a:off x="9428482" y="20332593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5AAD939-42F5-4ADD-8981-A6A0A039811E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16</xdr:col>
      <xdr:colOff>116660</xdr:colOff>
      <xdr:row>107</xdr:row>
      <xdr:rowOff>81989</xdr:rowOff>
    </xdr:from>
    <xdr:ext cx="883361" cy="264560"/>
    <xdr:sp macro="" textlink="$K$116">
      <xdr:nvSpPr>
        <xdr:cNvPr id="39" name="TextBox 38">
          <a:extLst>
            <a:ext uri="{FF2B5EF4-FFF2-40B4-BE49-F238E27FC236}">
              <a16:creationId xmlns:a16="http://schemas.microsoft.com/office/drawing/2014/main" id="{D03A9F8A-3B20-4AA0-A018-5E6CE59DC718}"/>
            </a:ext>
          </a:extLst>
        </xdr:cNvPr>
        <xdr:cNvSpPr txBox="1"/>
      </xdr:nvSpPr>
      <xdr:spPr>
        <a:xfrm>
          <a:off x="9870260" y="20465489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F00F829B-CD10-4B24-8442-BA16C88DA8E7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16</xdr:col>
      <xdr:colOff>573860</xdr:colOff>
      <xdr:row>108</xdr:row>
      <xdr:rowOff>14861</xdr:rowOff>
    </xdr:from>
    <xdr:ext cx="883361" cy="264560"/>
    <xdr:sp macro="" textlink="$K$117">
      <xdr:nvSpPr>
        <xdr:cNvPr id="40" name="TextBox 39">
          <a:extLst>
            <a:ext uri="{FF2B5EF4-FFF2-40B4-BE49-F238E27FC236}">
              <a16:creationId xmlns:a16="http://schemas.microsoft.com/office/drawing/2014/main" id="{6451EA90-D3F7-486B-BC9D-FE9D52C46646}"/>
            </a:ext>
          </a:extLst>
        </xdr:cNvPr>
        <xdr:cNvSpPr txBox="1"/>
      </xdr:nvSpPr>
      <xdr:spPr>
        <a:xfrm>
          <a:off x="10327460" y="20588861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FEC8EC65-92C9-4577-A17E-63C4CEF535A1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17</xdr:col>
      <xdr:colOff>418739</xdr:colOff>
      <xdr:row>108</xdr:row>
      <xdr:rowOff>192661</xdr:rowOff>
    </xdr:from>
    <xdr:ext cx="883361" cy="264560"/>
    <xdr:sp macro="" textlink="$K$118">
      <xdr:nvSpPr>
        <xdr:cNvPr id="41" name="TextBox 40">
          <a:extLst>
            <a:ext uri="{FF2B5EF4-FFF2-40B4-BE49-F238E27FC236}">
              <a16:creationId xmlns:a16="http://schemas.microsoft.com/office/drawing/2014/main" id="{9E71DE81-EA93-4E2C-B765-CBF02E310FAE}"/>
            </a:ext>
          </a:extLst>
        </xdr:cNvPr>
        <xdr:cNvSpPr txBox="1"/>
      </xdr:nvSpPr>
      <xdr:spPr>
        <a:xfrm>
          <a:off x="10781939" y="20766661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81A52997-63B2-4EBE-8766-6DA038FC58D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twoCellAnchor>
    <xdr:from>
      <xdr:col>10</xdr:col>
      <xdr:colOff>0</xdr:colOff>
      <xdr:row>25</xdr:row>
      <xdr:rowOff>6433</xdr:rowOff>
    </xdr:from>
    <xdr:to>
      <xdr:col>18</xdr:col>
      <xdr:colOff>547996</xdr:colOff>
      <xdr:row>46</xdr:row>
      <xdr:rowOff>199408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7BC1678-AC14-498F-9DEA-B8ACD979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561605</xdr:colOff>
      <xdr:row>25</xdr:row>
      <xdr:rowOff>0</xdr:rowOff>
    </xdr:from>
    <xdr:to>
      <xdr:col>26</xdr:col>
      <xdr:colOff>493567</xdr:colOff>
      <xdr:row>46</xdr:row>
      <xdr:rowOff>185801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D7C3D6FC-4E66-4251-902F-F652C6475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122463</xdr:colOff>
      <xdr:row>126</xdr:row>
      <xdr:rowOff>6433</xdr:rowOff>
    </xdr:from>
    <xdr:to>
      <xdr:col>19</xdr:col>
      <xdr:colOff>17330</xdr:colOff>
      <xdr:row>147</xdr:row>
      <xdr:rowOff>199406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E0B8E15D-0303-447C-B1BF-8E87A2DDB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30926</xdr:colOff>
      <xdr:row>126</xdr:row>
      <xdr:rowOff>0</xdr:rowOff>
    </xdr:from>
    <xdr:to>
      <xdr:col>26</xdr:col>
      <xdr:colOff>575210</xdr:colOff>
      <xdr:row>147</xdr:row>
      <xdr:rowOff>185799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D827AAE-A3D0-401B-B587-BBCAC55DA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91540</xdr:colOff>
      <xdr:row>2</xdr:row>
      <xdr:rowOff>24741</xdr:rowOff>
    </xdr:from>
    <xdr:to>
      <xdr:col>19</xdr:col>
      <xdr:colOff>27214</xdr:colOff>
      <xdr:row>24</xdr:row>
      <xdr:rowOff>13608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E1A82-CC84-413A-9433-AD039DF79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40823</xdr:colOff>
      <xdr:row>2</xdr:row>
      <xdr:rowOff>18308</xdr:rowOff>
    </xdr:from>
    <xdr:to>
      <xdr:col>26</xdr:col>
      <xdr:colOff>585107</xdr:colOff>
      <xdr:row>24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9DA9C2-0BB1-4302-A380-D8F489606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105133</xdr:colOff>
      <xdr:row>103</xdr:row>
      <xdr:rowOff>11134</xdr:rowOff>
    </xdr:from>
    <xdr:to>
      <xdr:col>19</xdr:col>
      <xdr:colOff>63500</xdr:colOff>
      <xdr:row>125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2E1C87-CC45-4ADB-8496-379B73C7A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96145</xdr:colOff>
      <xdr:row>103</xdr:row>
      <xdr:rowOff>18308</xdr:rowOff>
    </xdr:from>
    <xdr:to>
      <xdr:col>26</xdr:col>
      <xdr:colOff>520700</xdr:colOff>
      <xdr:row>125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664D3C-7D17-413E-AEF5-54578072B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14</xdr:col>
      <xdr:colOff>108857</xdr:colOff>
      <xdr:row>3</xdr:row>
      <xdr:rowOff>149678</xdr:rowOff>
    </xdr:from>
    <xdr:ext cx="301686" cy="374141"/>
    <xdr:sp macro="" textlink="$J$10">
      <xdr:nvSpPr>
        <xdr:cNvPr id="6" name="TextBox 5">
          <a:extLst>
            <a:ext uri="{FF2B5EF4-FFF2-40B4-BE49-F238E27FC236}">
              <a16:creationId xmlns:a16="http://schemas.microsoft.com/office/drawing/2014/main" id="{223183D1-6984-4C37-B1CC-59AF534A3657}"/>
            </a:ext>
          </a:extLst>
        </xdr:cNvPr>
        <xdr:cNvSpPr txBox="1"/>
      </xdr:nvSpPr>
      <xdr:spPr>
        <a:xfrm>
          <a:off x="8643257" y="721178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76314C8F-A467-40CB-B68A-CA985B4547DB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244928</xdr:colOff>
      <xdr:row>3</xdr:row>
      <xdr:rowOff>163284</xdr:rowOff>
    </xdr:from>
    <xdr:ext cx="301686" cy="374141"/>
    <xdr:sp macro="" textlink="$J$18">
      <xdr:nvSpPr>
        <xdr:cNvPr id="7" name="TextBox 6">
          <a:extLst>
            <a:ext uri="{FF2B5EF4-FFF2-40B4-BE49-F238E27FC236}">
              <a16:creationId xmlns:a16="http://schemas.microsoft.com/office/drawing/2014/main" id="{9BDC6744-E710-4A4A-A5A7-F5824E2F8684}"/>
            </a:ext>
          </a:extLst>
        </xdr:cNvPr>
        <xdr:cNvSpPr txBox="1"/>
      </xdr:nvSpPr>
      <xdr:spPr>
        <a:xfrm>
          <a:off x="10608128" y="734784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C279EFDD-5B3C-436D-9E1D-3FE8143D9F08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24</xdr:col>
      <xdr:colOff>312964</xdr:colOff>
      <xdr:row>3</xdr:row>
      <xdr:rowOff>136069</xdr:rowOff>
    </xdr:from>
    <xdr:ext cx="301686" cy="374141"/>
    <xdr:sp macro="" textlink="$J$25">
      <xdr:nvSpPr>
        <xdr:cNvPr id="8" name="TextBox 7">
          <a:extLst>
            <a:ext uri="{FF2B5EF4-FFF2-40B4-BE49-F238E27FC236}">
              <a16:creationId xmlns:a16="http://schemas.microsoft.com/office/drawing/2014/main" id="{10C67BD4-904D-416E-BD99-D2A8F128B3AA}"/>
            </a:ext>
          </a:extLst>
        </xdr:cNvPr>
        <xdr:cNvSpPr txBox="1"/>
      </xdr:nvSpPr>
      <xdr:spPr>
        <a:xfrm>
          <a:off x="14943364" y="707569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45313241-D8D9-435A-8560-51A040CFB69A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351960</xdr:colOff>
      <xdr:row>104</xdr:row>
      <xdr:rowOff>136979</xdr:rowOff>
    </xdr:from>
    <xdr:ext cx="301686" cy="374141"/>
    <xdr:sp macro="" textlink="$J$111">
      <xdr:nvSpPr>
        <xdr:cNvPr id="9" name="TextBox 8">
          <a:extLst>
            <a:ext uri="{FF2B5EF4-FFF2-40B4-BE49-F238E27FC236}">
              <a16:creationId xmlns:a16="http://schemas.microsoft.com/office/drawing/2014/main" id="{899DBAB0-87C8-43DB-8B29-DF0A95AF88AD}"/>
            </a:ext>
          </a:extLst>
        </xdr:cNvPr>
        <xdr:cNvSpPr txBox="1"/>
      </xdr:nvSpPr>
      <xdr:spPr>
        <a:xfrm>
          <a:off x="8886360" y="19948979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294D3453-4AE0-40DB-A2FF-FB785FCE072F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428158</xdr:colOff>
      <xdr:row>104</xdr:row>
      <xdr:rowOff>150585</xdr:rowOff>
    </xdr:from>
    <xdr:ext cx="301686" cy="374141"/>
    <xdr:sp macro="" textlink="$J$119">
      <xdr:nvSpPr>
        <xdr:cNvPr id="10" name="TextBox 9">
          <a:extLst>
            <a:ext uri="{FF2B5EF4-FFF2-40B4-BE49-F238E27FC236}">
              <a16:creationId xmlns:a16="http://schemas.microsoft.com/office/drawing/2014/main" id="{A5242A2F-6872-4254-864F-7ADE55B7AEBC}"/>
            </a:ext>
          </a:extLst>
        </xdr:cNvPr>
        <xdr:cNvSpPr txBox="1"/>
      </xdr:nvSpPr>
      <xdr:spPr>
        <a:xfrm>
          <a:off x="10791358" y="19962585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721A630A-99F8-427A-A31A-EDF3DE62ABA5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23</xdr:col>
      <xdr:colOff>577837</xdr:colOff>
      <xdr:row>104</xdr:row>
      <xdr:rowOff>97971</xdr:rowOff>
    </xdr:from>
    <xdr:ext cx="301686" cy="374141"/>
    <xdr:sp macro="" textlink="$J$126">
      <xdr:nvSpPr>
        <xdr:cNvPr id="11" name="TextBox 10">
          <a:extLst>
            <a:ext uri="{FF2B5EF4-FFF2-40B4-BE49-F238E27FC236}">
              <a16:creationId xmlns:a16="http://schemas.microsoft.com/office/drawing/2014/main" id="{B088B4A2-59BE-4BB1-8F45-5F60404714E6}"/>
            </a:ext>
          </a:extLst>
        </xdr:cNvPr>
        <xdr:cNvSpPr txBox="1"/>
      </xdr:nvSpPr>
      <xdr:spPr>
        <a:xfrm>
          <a:off x="14598637" y="19909971"/>
          <a:ext cx="3016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fld id="{A78B8000-8FB9-44E7-8728-8C9CEAF5FF85}" type="TxLink">
            <a:rPr lang="en-US" sz="1800" b="1" i="0" u="none" strike="noStrike">
              <a:solidFill>
                <a:srgbClr val="FF0000"/>
              </a:solidFill>
              <a:latin typeface="Calibri"/>
              <a:cs typeface="Calibri"/>
            </a:rPr>
            <a:pPr/>
            <a:t>0</a:t>
          </a:fld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42816</xdr:colOff>
      <xdr:row>5</xdr:row>
      <xdr:rowOff>125946</xdr:rowOff>
    </xdr:from>
    <xdr:ext cx="883361" cy="264560"/>
    <xdr:sp macro="" textlink="$K$5">
      <xdr:nvSpPr>
        <xdr:cNvPr id="12" name="TextBox 11">
          <a:extLst>
            <a:ext uri="{FF2B5EF4-FFF2-40B4-BE49-F238E27FC236}">
              <a16:creationId xmlns:a16="http://schemas.microsoft.com/office/drawing/2014/main" id="{4B5A714B-3997-4F78-A640-8CD13A26AFE7}"/>
            </a:ext>
          </a:extLst>
        </xdr:cNvPr>
        <xdr:cNvSpPr txBox="1"/>
      </xdr:nvSpPr>
      <xdr:spPr>
        <a:xfrm>
          <a:off x="6748416" y="1078446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DDC6F2E-637F-4003-AE97-B315F460989B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19</xdr:col>
      <xdr:colOff>190500</xdr:colOff>
      <xdr:row>5</xdr:row>
      <xdr:rowOff>122463</xdr:rowOff>
    </xdr:from>
    <xdr:ext cx="835236" cy="283937"/>
    <xdr:sp macro="" textlink="$K$20">
      <xdr:nvSpPr>
        <xdr:cNvPr id="13" name="TextBox 12">
          <a:extLst>
            <a:ext uri="{FF2B5EF4-FFF2-40B4-BE49-F238E27FC236}">
              <a16:creationId xmlns:a16="http://schemas.microsoft.com/office/drawing/2014/main" id="{2C831928-20AD-4C9F-98C3-F9BCC349F19C}"/>
            </a:ext>
          </a:extLst>
        </xdr:cNvPr>
        <xdr:cNvSpPr txBox="1"/>
      </xdr:nvSpPr>
      <xdr:spPr>
        <a:xfrm>
          <a:off x="11772900" y="1074963"/>
          <a:ext cx="835236" cy="283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9507C1EF-8949-4E07-966C-5E2742D6358B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20</xdr:col>
      <xdr:colOff>431800</xdr:colOff>
      <xdr:row>5</xdr:row>
      <xdr:rowOff>116261</xdr:rowOff>
    </xdr:from>
    <xdr:ext cx="879940" cy="280205"/>
    <xdr:sp macro="" textlink="$K$21">
      <xdr:nvSpPr>
        <xdr:cNvPr id="14" name="TextBox 13">
          <a:extLst>
            <a:ext uri="{FF2B5EF4-FFF2-40B4-BE49-F238E27FC236}">
              <a16:creationId xmlns:a16="http://schemas.microsoft.com/office/drawing/2014/main" id="{3ED9B578-7B13-435F-8AA2-306C5B2703BD}"/>
            </a:ext>
          </a:extLst>
        </xdr:cNvPr>
        <xdr:cNvSpPr txBox="1"/>
      </xdr:nvSpPr>
      <xdr:spPr>
        <a:xfrm>
          <a:off x="12623800" y="1068761"/>
          <a:ext cx="8799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A4965C90-BAAA-46BD-8D19-3D45FBB6BC22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22</xdr:col>
      <xdr:colOff>165100</xdr:colOff>
      <xdr:row>5</xdr:row>
      <xdr:rowOff>118981</xdr:rowOff>
    </xdr:from>
    <xdr:ext cx="850000" cy="280205"/>
    <xdr:sp macro="" textlink="$K$22">
      <xdr:nvSpPr>
        <xdr:cNvPr id="15" name="TextBox 14">
          <a:extLst>
            <a:ext uri="{FF2B5EF4-FFF2-40B4-BE49-F238E27FC236}">
              <a16:creationId xmlns:a16="http://schemas.microsoft.com/office/drawing/2014/main" id="{2A4419E2-339A-40D6-AE3B-F906053872B5}"/>
            </a:ext>
          </a:extLst>
        </xdr:cNvPr>
        <xdr:cNvSpPr txBox="1"/>
      </xdr:nvSpPr>
      <xdr:spPr>
        <a:xfrm>
          <a:off x="13576300" y="1071481"/>
          <a:ext cx="85000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DC2CB248-55A7-4A36-9711-572CEB6AB3B9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23</xdr:col>
      <xdr:colOff>469900</xdr:colOff>
      <xdr:row>5</xdr:row>
      <xdr:rowOff>126693</xdr:rowOff>
    </xdr:from>
    <xdr:ext cx="885376" cy="280205"/>
    <xdr:sp macro="" textlink="$K$23">
      <xdr:nvSpPr>
        <xdr:cNvPr id="16" name="TextBox 15">
          <a:extLst>
            <a:ext uri="{FF2B5EF4-FFF2-40B4-BE49-F238E27FC236}">
              <a16:creationId xmlns:a16="http://schemas.microsoft.com/office/drawing/2014/main" id="{0E2355B6-52A7-4284-B156-3430270AB3C3}"/>
            </a:ext>
          </a:extLst>
        </xdr:cNvPr>
        <xdr:cNvSpPr txBox="1"/>
      </xdr:nvSpPr>
      <xdr:spPr>
        <a:xfrm>
          <a:off x="14490700" y="1079193"/>
          <a:ext cx="88537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E96E3917-8909-4B6F-A6A2-CC9A0815B88E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25</xdr:col>
      <xdr:colOff>226120</xdr:colOff>
      <xdr:row>5</xdr:row>
      <xdr:rowOff>101601</xdr:rowOff>
    </xdr:from>
    <xdr:ext cx="904179" cy="280205"/>
    <xdr:sp macro="" textlink="$K$24">
      <xdr:nvSpPr>
        <xdr:cNvPr id="17" name="TextBox 16">
          <a:extLst>
            <a:ext uri="{FF2B5EF4-FFF2-40B4-BE49-F238E27FC236}">
              <a16:creationId xmlns:a16="http://schemas.microsoft.com/office/drawing/2014/main" id="{17A25407-8CF3-4FE1-AB87-04F98DEBAAD7}"/>
            </a:ext>
          </a:extLst>
        </xdr:cNvPr>
        <xdr:cNvSpPr txBox="1"/>
      </xdr:nvSpPr>
      <xdr:spPr>
        <a:xfrm>
          <a:off x="15466120" y="1054101"/>
          <a:ext cx="90417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081545F1-87E9-4C40-9F57-E24D0C063A3E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19</xdr:col>
      <xdr:colOff>228600</xdr:colOff>
      <xdr:row>106</xdr:row>
      <xdr:rowOff>118689</xdr:rowOff>
    </xdr:from>
    <xdr:ext cx="853380" cy="280205"/>
    <xdr:sp macro="" textlink="$K$121">
      <xdr:nvSpPr>
        <xdr:cNvPr id="18" name="TextBox 17">
          <a:extLst>
            <a:ext uri="{FF2B5EF4-FFF2-40B4-BE49-F238E27FC236}">
              <a16:creationId xmlns:a16="http://schemas.microsoft.com/office/drawing/2014/main" id="{527AA88A-86BA-4F9D-99E4-277FDD19BFCA}"/>
            </a:ext>
          </a:extLst>
        </xdr:cNvPr>
        <xdr:cNvSpPr txBox="1"/>
      </xdr:nvSpPr>
      <xdr:spPr>
        <a:xfrm>
          <a:off x="11811000" y="20311689"/>
          <a:ext cx="85338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8727361C-FA98-4172-A313-EEDA10A140B6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20</xdr:col>
      <xdr:colOff>584454</xdr:colOff>
      <xdr:row>106</xdr:row>
      <xdr:rowOff>112486</xdr:rowOff>
    </xdr:from>
    <xdr:ext cx="780808" cy="280205"/>
    <xdr:sp macro="" textlink="$K$122">
      <xdr:nvSpPr>
        <xdr:cNvPr id="19" name="TextBox 18">
          <a:extLst>
            <a:ext uri="{FF2B5EF4-FFF2-40B4-BE49-F238E27FC236}">
              <a16:creationId xmlns:a16="http://schemas.microsoft.com/office/drawing/2014/main" id="{148733FD-310B-4BA3-99C8-70F086DFBAB9}"/>
            </a:ext>
          </a:extLst>
        </xdr:cNvPr>
        <xdr:cNvSpPr txBox="1"/>
      </xdr:nvSpPr>
      <xdr:spPr>
        <a:xfrm>
          <a:off x="12776454" y="20305486"/>
          <a:ext cx="7808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3C121DA4-F74A-4EED-9BCC-567CF1CCE2D7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22</xdr:col>
      <xdr:colOff>241300</xdr:colOff>
      <xdr:row>106</xdr:row>
      <xdr:rowOff>115207</xdr:rowOff>
    </xdr:from>
    <xdr:ext cx="918944" cy="280205"/>
    <xdr:sp macro="" textlink="$K$123">
      <xdr:nvSpPr>
        <xdr:cNvPr id="20" name="TextBox 19">
          <a:extLst>
            <a:ext uri="{FF2B5EF4-FFF2-40B4-BE49-F238E27FC236}">
              <a16:creationId xmlns:a16="http://schemas.microsoft.com/office/drawing/2014/main" id="{AB9784B1-E213-48D6-A5DE-51E50DB6EC59}"/>
            </a:ext>
          </a:extLst>
        </xdr:cNvPr>
        <xdr:cNvSpPr txBox="1"/>
      </xdr:nvSpPr>
      <xdr:spPr>
        <a:xfrm>
          <a:off x="13652500" y="20308207"/>
          <a:ext cx="91894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9AFDD56F-C072-4089-9A6E-1A8348C0A5FF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23</xdr:col>
      <xdr:colOff>520700</xdr:colOff>
      <xdr:row>106</xdr:row>
      <xdr:rowOff>135619</xdr:rowOff>
    </xdr:from>
    <xdr:ext cx="875399" cy="280205"/>
    <xdr:sp macro="" textlink="$K$124">
      <xdr:nvSpPr>
        <xdr:cNvPr id="21" name="TextBox 20">
          <a:extLst>
            <a:ext uri="{FF2B5EF4-FFF2-40B4-BE49-F238E27FC236}">
              <a16:creationId xmlns:a16="http://schemas.microsoft.com/office/drawing/2014/main" id="{C37D1BDF-6A8B-44BD-B798-A1DD00443041}"/>
            </a:ext>
          </a:extLst>
        </xdr:cNvPr>
        <xdr:cNvSpPr txBox="1"/>
      </xdr:nvSpPr>
      <xdr:spPr>
        <a:xfrm>
          <a:off x="14541500" y="20328619"/>
          <a:ext cx="87539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5A0168CA-6738-402E-9C9C-F482A83682F8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25</xdr:col>
      <xdr:colOff>282366</xdr:colOff>
      <xdr:row>106</xdr:row>
      <xdr:rowOff>133351</xdr:rowOff>
    </xdr:from>
    <xdr:ext cx="780808" cy="280205"/>
    <xdr:sp macro="" textlink="$K$125">
      <xdr:nvSpPr>
        <xdr:cNvPr id="22" name="TextBox 21">
          <a:extLst>
            <a:ext uri="{FF2B5EF4-FFF2-40B4-BE49-F238E27FC236}">
              <a16:creationId xmlns:a16="http://schemas.microsoft.com/office/drawing/2014/main" id="{860EC70C-5143-4032-A3D0-527AADDB907C}"/>
            </a:ext>
          </a:extLst>
        </xdr:cNvPr>
        <xdr:cNvSpPr txBox="1"/>
      </xdr:nvSpPr>
      <xdr:spPr>
        <a:xfrm>
          <a:off x="15522366" y="20326351"/>
          <a:ext cx="7808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fld id="{3E0F3150-6876-4237-95EF-E1573CE5241E}" type="TxLink">
            <a:rPr lang="en-US" sz="1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sz="1200" b="1"/>
        </a:p>
      </xdr:txBody>
    </xdr:sp>
    <xdr:clientData/>
  </xdr:oneCellAnchor>
  <xdr:oneCellAnchor>
    <xdr:from>
      <xdr:col>11</xdr:col>
      <xdr:colOff>508000</xdr:colOff>
      <xdr:row>6</xdr:row>
      <xdr:rowOff>50800</xdr:rowOff>
    </xdr:from>
    <xdr:ext cx="883361" cy="264560"/>
    <xdr:sp macro="" textlink="$K$6">
      <xdr:nvSpPr>
        <xdr:cNvPr id="23" name="TextBox 22">
          <a:extLst>
            <a:ext uri="{FF2B5EF4-FFF2-40B4-BE49-F238E27FC236}">
              <a16:creationId xmlns:a16="http://schemas.microsoft.com/office/drawing/2014/main" id="{79131758-D351-4FC4-8AB5-3531B5D6B69B}"/>
            </a:ext>
          </a:extLst>
        </xdr:cNvPr>
        <xdr:cNvSpPr txBox="1"/>
      </xdr:nvSpPr>
      <xdr:spPr>
        <a:xfrm>
          <a:off x="7213600" y="1193800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1F7085A3-BA55-4AF7-8BD2-0F8E18B1E803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12</xdr:col>
      <xdr:colOff>342900</xdr:colOff>
      <xdr:row>6</xdr:row>
      <xdr:rowOff>228600</xdr:rowOff>
    </xdr:from>
    <xdr:ext cx="883361" cy="264560"/>
    <xdr:sp macro="" textlink="$K$7">
      <xdr:nvSpPr>
        <xdr:cNvPr id="24" name="TextBox 23">
          <a:extLst>
            <a:ext uri="{FF2B5EF4-FFF2-40B4-BE49-F238E27FC236}">
              <a16:creationId xmlns:a16="http://schemas.microsoft.com/office/drawing/2014/main" id="{92D4BD87-2288-4023-AD27-DC3A80427B10}"/>
            </a:ext>
          </a:extLst>
        </xdr:cNvPr>
        <xdr:cNvSpPr txBox="1"/>
      </xdr:nvSpPr>
      <xdr:spPr>
        <a:xfrm>
          <a:off x="7658100" y="1333500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BF6001AB-FA32-4FD8-8B47-E9BE5AAF2D79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13</xdr:col>
      <xdr:colOff>190500</xdr:colOff>
      <xdr:row>7</xdr:row>
      <xdr:rowOff>165100</xdr:rowOff>
    </xdr:from>
    <xdr:ext cx="883361" cy="264560"/>
    <xdr:sp macro="" textlink="$K$8">
      <xdr:nvSpPr>
        <xdr:cNvPr id="25" name="TextBox 24">
          <a:extLst>
            <a:ext uri="{FF2B5EF4-FFF2-40B4-BE49-F238E27FC236}">
              <a16:creationId xmlns:a16="http://schemas.microsoft.com/office/drawing/2014/main" id="{AAE1CFDD-8913-488E-9C6A-196BF5BB5E2F}"/>
            </a:ext>
          </a:extLst>
        </xdr:cNvPr>
        <xdr:cNvSpPr txBox="1"/>
      </xdr:nvSpPr>
      <xdr:spPr>
        <a:xfrm>
          <a:off x="8115300" y="1498600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24C67545-2715-43EC-BEAF-906FC115F9A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14</xdr:col>
      <xdr:colOff>38100</xdr:colOff>
      <xdr:row>8</xdr:row>
      <xdr:rowOff>101600</xdr:rowOff>
    </xdr:from>
    <xdr:ext cx="883361" cy="264560"/>
    <xdr:sp macro="" textlink="$K$9">
      <xdr:nvSpPr>
        <xdr:cNvPr id="26" name="TextBox 25">
          <a:extLst>
            <a:ext uri="{FF2B5EF4-FFF2-40B4-BE49-F238E27FC236}">
              <a16:creationId xmlns:a16="http://schemas.microsoft.com/office/drawing/2014/main" id="{685DB9B0-5DCD-4E47-AA28-FE3DA7475D4D}"/>
            </a:ext>
          </a:extLst>
        </xdr:cNvPr>
        <xdr:cNvSpPr txBox="1"/>
      </xdr:nvSpPr>
      <xdr:spPr>
        <a:xfrm>
          <a:off x="8572500" y="1625600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B5182610-D8D9-42F2-A6C9-CE1345AB394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14</xdr:col>
      <xdr:colOff>482600</xdr:colOff>
      <xdr:row>5</xdr:row>
      <xdr:rowOff>190500</xdr:rowOff>
    </xdr:from>
    <xdr:ext cx="883361" cy="264560"/>
    <xdr:sp macro="" textlink="$K$13">
      <xdr:nvSpPr>
        <xdr:cNvPr id="27" name="TextBox 26">
          <a:extLst>
            <a:ext uri="{FF2B5EF4-FFF2-40B4-BE49-F238E27FC236}">
              <a16:creationId xmlns:a16="http://schemas.microsoft.com/office/drawing/2014/main" id="{50A69752-9979-4199-910F-44FDFF761F5B}"/>
            </a:ext>
          </a:extLst>
        </xdr:cNvPr>
        <xdr:cNvSpPr txBox="1"/>
      </xdr:nvSpPr>
      <xdr:spPr>
        <a:xfrm>
          <a:off x="9017000" y="1143000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3251C7A4-A4AB-4E85-B330-B179E2C41DD9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15</xdr:col>
      <xdr:colOff>338184</xdr:colOff>
      <xdr:row>6</xdr:row>
      <xdr:rowOff>115354</xdr:rowOff>
    </xdr:from>
    <xdr:ext cx="883361" cy="264560"/>
    <xdr:sp macro="" textlink="$K$14">
      <xdr:nvSpPr>
        <xdr:cNvPr id="28" name="TextBox 27">
          <a:extLst>
            <a:ext uri="{FF2B5EF4-FFF2-40B4-BE49-F238E27FC236}">
              <a16:creationId xmlns:a16="http://schemas.microsoft.com/office/drawing/2014/main" id="{3E583F8F-725B-4749-9001-0F1D454816B7}"/>
            </a:ext>
          </a:extLst>
        </xdr:cNvPr>
        <xdr:cNvSpPr txBox="1"/>
      </xdr:nvSpPr>
      <xdr:spPr>
        <a:xfrm>
          <a:off x="9482184" y="12583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F5EA5E7-BFE2-4166-B832-C35E4F1F479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16</xdr:col>
      <xdr:colOff>173084</xdr:colOff>
      <xdr:row>7</xdr:row>
      <xdr:rowOff>51854</xdr:rowOff>
    </xdr:from>
    <xdr:ext cx="883361" cy="264560"/>
    <xdr:sp macro="" textlink="$K$15">
      <xdr:nvSpPr>
        <xdr:cNvPr id="29" name="TextBox 28">
          <a:extLst>
            <a:ext uri="{FF2B5EF4-FFF2-40B4-BE49-F238E27FC236}">
              <a16:creationId xmlns:a16="http://schemas.microsoft.com/office/drawing/2014/main" id="{5F3DE439-184F-4624-B163-3B2D8697DC10}"/>
            </a:ext>
          </a:extLst>
        </xdr:cNvPr>
        <xdr:cNvSpPr txBox="1"/>
      </xdr:nvSpPr>
      <xdr:spPr>
        <a:xfrm>
          <a:off x="9926684" y="13853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8B6BB9E6-F5AF-4002-B917-08F69C6D6807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17</xdr:col>
      <xdr:colOff>20684</xdr:colOff>
      <xdr:row>7</xdr:row>
      <xdr:rowOff>229654</xdr:rowOff>
    </xdr:from>
    <xdr:ext cx="883361" cy="264560"/>
    <xdr:sp macro="" textlink="$K$16">
      <xdr:nvSpPr>
        <xdr:cNvPr id="30" name="TextBox 29">
          <a:extLst>
            <a:ext uri="{FF2B5EF4-FFF2-40B4-BE49-F238E27FC236}">
              <a16:creationId xmlns:a16="http://schemas.microsoft.com/office/drawing/2014/main" id="{F738233C-9558-4F89-90ED-14AFB2BA98F1}"/>
            </a:ext>
          </a:extLst>
        </xdr:cNvPr>
        <xdr:cNvSpPr txBox="1"/>
      </xdr:nvSpPr>
      <xdr:spPr>
        <a:xfrm>
          <a:off x="10383884" y="15250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AE250762-8F59-41E2-ACCC-3FF5E14472E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17</xdr:col>
      <xdr:colOff>477884</xdr:colOff>
      <xdr:row>8</xdr:row>
      <xdr:rowOff>166154</xdr:rowOff>
    </xdr:from>
    <xdr:ext cx="883361" cy="264560"/>
    <xdr:sp macro="" textlink="$K$17">
      <xdr:nvSpPr>
        <xdr:cNvPr id="31" name="TextBox 30">
          <a:extLst>
            <a:ext uri="{FF2B5EF4-FFF2-40B4-BE49-F238E27FC236}">
              <a16:creationId xmlns:a16="http://schemas.microsoft.com/office/drawing/2014/main" id="{DCA8A60F-DF0A-4E05-AF03-F15F1983D656}"/>
            </a:ext>
          </a:extLst>
        </xdr:cNvPr>
        <xdr:cNvSpPr txBox="1"/>
      </xdr:nvSpPr>
      <xdr:spPr>
        <a:xfrm>
          <a:off x="10841084" y="16901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E317B03F-5E26-4E7A-8E72-B58C5A986D71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11</xdr:col>
      <xdr:colOff>88900</xdr:colOff>
      <xdr:row>106</xdr:row>
      <xdr:rowOff>76200</xdr:rowOff>
    </xdr:from>
    <xdr:ext cx="883361" cy="264560"/>
    <xdr:sp macro="" textlink="$K$106">
      <xdr:nvSpPr>
        <xdr:cNvPr id="32" name="TextBox 31">
          <a:extLst>
            <a:ext uri="{FF2B5EF4-FFF2-40B4-BE49-F238E27FC236}">
              <a16:creationId xmlns:a16="http://schemas.microsoft.com/office/drawing/2014/main" id="{35CC203B-22C6-4849-A663-4AC7EC713060}"/>
            </a:ext>
          </a:extLst>
        </xdr:cNvPr>
        <xdr:cNvSpPr txBox="1"/>
      </xdr:nvSpPr>
      <xdr:spPr>
        <a:xfrm>
          <a:off x="6794500" y="20269200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92242038-2B1A-4650-A96F-958670A89B1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11</xdr:col>
      <xdr:colOff>554084</xdr:colOff>
      <xdr:row>107</xdr:row>
      <xdr:rowOff>1054</xdr:rowOff>
    </xdr:from>
    <xdr:ext cx="883361" cy="264560"/>
    <xdr:sp macro="" textlink="$K$107">
      <xdr:nvSpPr>
        <xdr:cNvPr id="33" name="TextBox 32">
          <a:extLst>
            <a:ext uri="{FF2B5EF4-FFF2-40B4-BE49-F238E27FC236}">
              <a16:creationId xmlns:a16="http://schemas.microsoft.com/office/drawing/2014/main" id="{0A8D5E3C-C9CC-4A5E-9102-E770040806D4}"/>
            </a:ext>
          </a:extLst>
        </xdr:cNvPr>
        <xdr:cNvSpPr txBox="1"/>
      </xdr:nvSpPr>
      <xdr:spPr>
        <a:xfrm>
          <a:off x="7259684" y="203845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DB2A6D38-E74D-48CB-A552-6DC161D2F9EA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12</xdr:col>
      <xdr:colOff>388984</xdr:colOff>
      <xdr:row>107</xdr:row>
      <xdr:rowOff>178854</xdr:rowOff>
    </xdr:from>
    <xdr:ext cx="883361" cy="264560"/>
    <xdr:sp macro="" textlink="$K$108">
      <xdr:nvSpPr>
        <xdr:cNvPr id="34" name="TextBox 33">
          <a:extLst>
            <a:ext uri="{FF2B5EF4-FFF2-40B4-BE49-F238E27FC236}">
              <a16:creationId xmlns:a16="http://schemas.microsoft.com/office/drawing/2014/main" id="{0CDF1681-B268-4428-BC80-CE5FB71333FD}"/>
            </a:ext>
          </a:extLst>
        </xdr:cNvPr>
        <xdr:cNvSpPr txBox="1"/>
      </xdr:nvSpPr>
      <xdr:spPr>
        <a:xfrm>
          <a:off x="7704184" y="205623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035F8E6C-CEBB-4A33-B724-96CB670DE42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13</xdr:col>
      <xdr:colOff>236584</xdr:colOff>
      <xdr:row>108</xdr:row>
      <xdr:rowOff>115354</xdr:rowOff>
    </xdr:from>
    <xdr:ext cx="883361" cy="264560"/>
    <xdr:sp macro="" textlink="$K$109">
      <xdr:nvSpPr>
        <xdr:cNvPr id="35" name="TextBox 34">
          <a:extLst>
            <a:ext uri="{FF2B5EF4-FFF2-40B4-BE49-F238E27FC236}">
              <a16:creationId xmlns:a16="http://schemas.microsoft.com/office/drawing/2014/main" id="{AC6F7BB4-C57C-4907-809C-BFC112F37903}"/>
            </a:ext>
          </a:extLst>
        </xdr:cNvPr>
        <xdr:cNvSpPr txBox="1"/>
      </xdr:nvSpPr>
      <xdr:spPr>
        <a:xfrm>
          <a:off x="8161384" y="206893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C788F029-D218-4E9C-BB21-F2418FA836DC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14</xdr:col>
      <xdr:colOff>84184</xdr:colOff>
      <xdr:row>109</xdr:row>
      <xdr:rowOff>51854</xdr:rowOff>
    </xdr:from>
    <xdr:ext cx="883361" cy="264560"/>
    <xdr:sp macro="" textlink="$K$110">
      <xdr:nvSpPr>
        <xdr:cNvPr id="36" name="TextBox 35">
          <a:extLst>
            <a:ext uri="{FF2B5EF4-FFF2-40B4-BE49-F238E27FC236}">
              <a16:creationId xmlns:a16="http://schemas.microsoft.com/office/drawing/2014/main" id="{A3E393BB-9248-4550-BC55-BAAEF563A4DB}"/>
            </a:ext>
          </a:extLst>
        </xdr:cNvPr>
        <xdr:cNvSpPr txBox="1"/>
      </xdr:nvSpPr>
      <xdr:spPr>
        <a:xfrm>
          <a:off x="8618584" y="208163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ACF2BCDE-6438-4F0F-917C-87B979E33E1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14</xdr:col>
      <xdr:colOff>528684</xdr:colOff>
      <xdr:row>106</xdr:row>
      <xdr:rowOff>140754</xdr:rowOff>
    </xdr:from>
    <xdr:ext cx="883361" cy="264560"/>
    <xdr:sp macro="" textlink="$K$114">
      <xdr:nvSpPr>
        <xdr:cNvPr id="37" name="TextBox 36">
          <a:extLst>
            <a:ext uri="{FF2B5EF4-FFF2-40B4-BE49-F238E27FC236}">
              <a16:creationId xmlns:a16="http://schemas.microsoft.com/office/drawing/2014/main" id="{D9A9AB97-7E37-4D37-A0AF-3517AF2FB0EB}"/>
            </a:ext>
          </a:extLst>
        </xdr:cNvPr>
        <xdr:cNvSpPr txBox="1"/>
      </xdr:nvSpPr>
      <xdr:spPr>
        <a:xfrm>
          <a:off x="9063084" y="20333754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EF22F3A2-64B8-4186-9813-4BFA136F1C0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15</xdr:col>
      <xdr:colOff>384268</xdr:colOff>
      <xdr:row>107</xdr:row>
      <xdr:rowOff>65608</xdr:rowOff>
    </xdr:from>
    <xdr:ext cx="883361" cy="264560"/>
    <xdr:sp macro="" textlink="$K$115">
      <xdr:nvSpPr>
        <xdr:cNvPr id="38" name="TextBox 37">
          <a:extLst>
            <a:ext uri="{FF2B5EF4-FFF2-40B4-BE49-F238E27FC236}">
              <a16:creationId xmlns:a16="http://schemas.microsoft.com/office/drawing/2014/main" id="{B6B3CA00-633F-490B-9757-92C8F659496E}"/>
            </a:ext>
          </a:extLst>
        </xdr:cNvPr>
        <xdr:cNvSpPr txBox="1"/>
      </xdr:nvSpPr>
      <xdr:spPr>
        <a:xfrm>
          <a:off x="9528268" y="20449108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65AAD939-42F5-4ADD-8981-A6A0A039811E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16</xdr:col>
      <xdr:colOff>219168</xdr:colOff>
      <xdr:row>108</xdr:row>
      <xdr:rowOff>2108</xdr:rowOff>
    </xdr:from>
    <xdr:ext cx="883361" cy="264560"/>
    <xdr:sp macro="" textlink="$K$116">
      <xdr:nvSpPr>
        <xdr:cNvPr id="39" name="TextBox 38">
          <a:extLst>
            <a:ext uri="{FF2B5EF4-FFF2-40B4-BE49-F238E27FC236}">
              <a16:creationId xmlns:a16="http://schemas.microsoft.com/office/drawing/2014/main" id="{84FCFF8E-2041-4408-8907-8AB468D053B5}"/>
            </a:ext>
          </a:extLst>
        </xdr:cNvPr>
        <xdr:cNvSpPr txBox="1"/>
      </xdr:nvSpPr>
      <xdr:spPr>
        <a:xfrm>
          <a:off x="9972768" y="20576108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F00F829B-CD10-4B24-8442-BA16C88DA8E7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17</xdr:col>
      <xdr:colOff>66768</xdr:colOff>
      <xdr:row>108</xdr:row>
      <xdr:rowOff>179908</xdr:rowOff>
    </xdr:from>
    <xdr:ext cx="883361" cy="264560"/>
    <xdr:sp macro="" textlink="$K$117">
      <xdr:nvSpPr>
        <xdr:cNvPr id="40" name="TextBox 39">
          <a:extLst>
            <a:ext uri="{FF2B5EF4-FFF2-40B4-BE49-F238E27FC236}">
              <a16:creationId xmlns:a16="http://schemas.microsoft.com/office/drawing/2014/main" id="{4404A971-66DC-4D5B-A365-FBF263FAA1DE}"/>
            </a:ext>
          </a:extLst>
        </xdr:cNvPr>
        <xdr:cNvSpPr txBox="1"/>
      </xdr:nvSpPr>
      <xdr:spPr>
        <a:xfrm>
          <a:off x="10429968" y="20753908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FEC8EC65-92C9-4577-A17E-63C4CEF535A1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oneCellAnchor>
    <xdr:from>
      <xdr:col>17</xdr:col>
      <xdr:colOff>523968</xdr:colOff>
      <xdr:row>109</xdr:row>
      <xdr:rowOff>116408</xdr:rowOff>
    </xdr:from>
    <xdr:ext cx="883361" cy="264560"/>
    <xdr:sp macro="" textlink="$K$118">
      <xdr:nvSpPr>
        <xdr:cNvPr id="41" name="TextBox 40">
          <a:extLst>
            <a:ext uri="{FF2B5EF4-FFF2-40B4-BE49-F238E27FC236}">
              <a16:creationId xmlns:a16="http://schemas.microsoft.com/office/drawing/2014/main" id="{2CB3D90E-1E55-4E22-B90D-AFA4D690791C}"/>
            </a:ext>
          </a:extLst>
        </xdr:cNvPr>
        <xdr:cNvSpPr txBox="1"/>
      </xdr:nvSpPr>
      <xdr:spPr>
        <a:xfrm>
          <a:off x="10887168" y="20880908"/>
          <a:ext cx="883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spAutoFit/>
        </a:bodyPr>
        <a:lstStyle/>
        <a:p>
          <a:pPr algn="ctr"/>
          <a:fld id="{81A52997-63B2-4EBE-8766-6DA038FC58D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/ </a:t>
          </a:fld>
          <a:endParaRPr lang="en-US" b="1"/>
        </a:p>
      </xdr:txBody>
    </xdr:sp>
    <xdr:clientData/>
  </xdr:oneCellAnchor>
  <xdr:twoCellAnchor>
    <xdr:from>
      <xdr:col>10</xdr:col>
      <xdr:colOff>0</xdr:colOff>
      <xdr:row>126</xdr:row>
      <xdr:rowOff>0</xdr:rowOff>
    </xdr:from>
    <xdr:to>
      <xdr:col>18</xdr:col>
      <xdr:colOff>567967</xdr:colOff>
      <xdr:row>148</xdr:row>
      <xdr:rowOff>65067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B6DC05C-DEB4-4CD0-80EE-9C92705B2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600612</xdr:colOff>
      <xdr:row>126</xdr:row>
      <xdr:rowOff>7174</xdr:rowOff>
    </xdr:from>
    <xdr:to>
      <xdr:col>26</xdr:col>
      <xdr:colOff>532575</xdr:colOff>
      <xdr:row>148</xdr:row>
      <xdr:rowOff>65067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6552D9C6-048B-46E3-8C88-4A7B00C96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18</xdr:col>
      <xdr:colOff>567967</xdr:colOff>
      <xdr:row>47</xdr:row>
      <xdr:rowOff>65067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E51AFA7B-FC2A-4D84-ADB0-C235D4316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600612</xdr:colOff>
      <xdr:row>25</xdr:row>
      <xdr:rowOff>7174</xdr:rowOff>
    </xdr:from>
    <xdr:to>
      <xdr:col>26</xdr:col>
      <xdr:colOff>532575</xdr:colOff>
      <xdr:row>47</xdr:row>
      <xdr:rowOff>65067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ED7F188D-44EF-41AC-834F-74E05CD6C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-0.499984740745262"/>
  </sheetPr>
  <dimension ref="A1:Y42"/>
  <sheetViews>
    <sheetView topLeftCell="A16" zoomScale="70" zoomScaleNormal="70" workbookViewId="0">
      <selection activeCell="D35" sqref="D35"/>
    </sheetView>
  </sheetViews>
  <sheetFormatPr baseColWidth="10" defaultColWidth="9.109375" defaultRowHeight="14.4"/>
  <cols>
    <col min="1" max="1" width="10" bestFit="1" customWidth="1"/>
    <col min="2" max="2" width="10.88671875" style="1" customWidth="1"/>
    <col min="3" max="3" width="11.6640625" style="1" bestFit="1" customWidth="1"/>
    <col min="4" max="4" width="9.109375" bestFit="1" customWidth="1"/>
    <col min="5" max="5" width="2.88671875" style="32" customWidth="1"/>
    <col min="6" max="6" width="10.88671875" style="1" customWidth="1"/>
    <col min="7" max="7" width="11.6640625" style="1" bestFit="1" customWidth="1"/>
    <col min="8" max="8" width="13.5546875" customWidth="1"/>
    <col min="9" max="9" width="2.88671875" style="39" customWidth="1"/>
    <col min="10" max="10" width="10.88671875" customWidth="1"/>
    <col min="11" max="11" width="13.5546875" customWidth="1"/>
    <col min="12" max="12" width="12.5546875" customWidth="1"/>
    <col min="13" max="13" width="2.88671875" customWidth="1"/>
    <col min="14" max="14" width="11.5546875" hidden="1" customWidth="1"/>
    <col min="15" max="15" width="11.33203125" style="1" hidden="1" customWidth="1"/>
    <col min="16" max="16" width="10.44140625" hidden="1" customWidth="1"/>
    <col min="17" max="17" width="2.88671875" style="41" hidden="1" customWidth="1"/>
    <col min="18" max="18" width="8.5546875" hidden="1" customWidth="1"/>
  </cols>
  <sheetData>
    <row r="1" spans="1:19" ht="15" thickBot="1"/>
    <row r="2" spans="1:19" s="1" customFormat="1" ht="15" thickBot="1">
      <c r="A2" s="193" t="s">
        <v>9</v>
      </c>
      <c r="B2" s="194"/>
      <c r="C2" s="194"/>
      <c r="D2" s="195"/>
      <c r="E2" s="54"/>
      <c r="F2" s="202" t="s">
        <v>10</v>
      </c>
      <c r="G2" s="203"/>
      <c r="H2" s="204"/>
      <c r="I2" s="54"/>
      <c r="J2" s="196" t="s">
        <v>8</v>
      </c>
      <c r="K2" s="197"/>
      <c r="L2" s="198"/>
      <c r="M2" s="55"/>
      <c r="N2" s="199" t="s">
        <v>22</v>
      </c>
      <c r="O2" s="200"/>
      <c r="P2" s="201"/>
      <c r="Q2" s="56"/>
      <c r="R2" s="191" t="s">
        <v>17</v>
      </c>
    </row>
    <row r="3" spans="1:19" s="1" customFormat="1" ht="59.25" customHeight="1" thickBot="1">
      <c r="A3" s="73" t="s">
        <v>2</v>
      </c>
      <c r="B3" s="78" t="s">
        <v>4</v>
      </c>
      <c r="C3" s="77" t="s">
        <v>0</v>
      </c>
      <c r="D3" s="57" t="s">
        <v>1</v>
      </c>
      <c r="E3" s="58"/>
      <c r="F3" s="89" t="s">
        <v>4</v>
      </c>
      <c r="G3" s="88" t="s">
        <v>0</v>
      </c>
      <c r="H3" s="59" t="s">
        <v>1</v>
      </c>
      <c r="I3" s="58"/>
      <c r="J3" s="96" t="s">
        <v>21</v>
      </c>
      <c r="K3" s="98" t="s">
        <v>3</v>
      </c>
      <c r="L3" s="97" t="s">
        <v>46</v>
      </c>
      <c r="M3" s="55"/>
      <c r="N3" s="62" t="s">
        <v>21</v>
      </c>
      <c r="O3" s="60" t="s">
        <v>3</v>
      </c>
      <c r="P3" s="61" t="s">
        <v>18</v>
      </c>
      <c r="Q3" s="42"/>
      <c r="R3" s="192"/>
    </row>
    <row r="4" spans="1:19" s="1" customFormat="1" ht="15" thickBot="1">
      <c r="A4" s="74">
        <v>1</v>
      </c>
      <c r="B4" s="79">
        <v>16005</v>
      </c>
      <c r="C4" s="87">
        <v>70</v>
      </c>
      <c r="D4" s="84">
        <f t="shared" ref="D4:D11" si="0">C4/B4*1000000</f>
        <v>4373.6332396126218</v>
      </c>
      <c r="E4" s="35"/>
      <c r="F4" s="80">
        <v>16654</v>
      </c>
      <c r="G4" s="90">
        <v>155</v>
      </c>
      <c r="H4" s="84">
        <f t="shared" ref="H4:H11" si="1">G4/F4*1000000</f>
        <v>9307.0733757655835</v>
      </c>
      <c r="I4" s="35"/>
      <c r="J4" s="93">
        <f>B4+F4</f>
        <v>32659</v>
      </c>
      <c r="K4" s="94">
        <f>C4+G4</f>
        <v>225</v>
      </c>
      <c r="L4" s="95">
        <f t="shared" ref="L4:L30" si="2">+K4/J4*1000000</f>
        <v>6889.3719954683238</v>
      </c>
      <c r="N4" s="48">
        <v>0</v>
      </c>
      <c r="O4" s="49">
        <v>0</v>
      </c>
      <c r="P4" s="33" t="e">
        <f>+O4/N4*1000000</f>
        <v>#DIV/0!</v>
      </c>
      <c r="Q4" s="42" t="e">
        <f>P4+L4</f>
        <v>#DIV/0!</v>
      </c>
      <c r="R4" s="51" t="e">
        <f t="shared" ref="R4:R34" si="3">P4/Q4</f>
        <v>#DIV/0!</v>
      </c>
      <c r="S4" s="29"/>
    </row>
    <row r="5" spans="1:19" s="32" customFormat="1" ht="15" thickBot="1">
      <c r="A5" s="75">
        <v>2</v>
      </c>
      <c r="B5" s="79">
        <v>29175</v>
      </c>
      <c r="C5" s="79">
        <v>189</v>
      </c>
      <c r="D5" s="85">
        <f t="shared" si="0"/>
        <v>6478.1491002570692</v>
      </c>
      <c r="E5" s="35"/>
      <c r="F5" s="80">
        <v>39198</v>
      </c>
      <c r="G5" s="80">
        <v>463</v>
      </c>
      <c r="H5" s="85">
        <f t="shared" si="1"/>
        <v>11811.827134037452</v>
      </c>
      <c r="I5" s="35"/>
      <c r="J5" s="91">
        <f t="shared" ref="J5:J34" si="4">B5+F5</f>
        <v>68373</v>
      </c>
      <c r="K5" s="81">
        <f t="shared" ref="K5:K34" si="5">C5+G5</f>
        <v>652</v>
      </c>
      <c r="L5" s="85">
        <f t="shared" si="2"/>
        <v>9535.9279247656232</v>
      </c>
      <c r="N5" s="37">
        <v>0</v>
      </c>
      <c r="O5" s="2">
        <v>0</v>
      </c>
      <c r="P5" s="34" t="e">
        <f>+O5/N5*1000000</f>
        <v>#DIV/0!</v>
      </c>
      <c r="Q5" s="42" t="e">
        <f>P5+L5</f>
        <v>#DIV/0!</v>
      </c>
      <c r="R5" s="52" t="e">
        <f t="shared" si="3"/>
        <v>#DIV/0!</v>
      </c>
      <c r="S5" s="29"/>
    </row>
    <row r="6" spans="1:19" s="1" customFormat="1" ht="15" thickBot="1">
      <c r="A6" s="75">
        <v>3</v>
      </c>
      <c r="B6" s="80">
        <v>25235</v>
      </c>
      <c r="C6" s="80">
        <v>135</v>
      </c>
      <c r="D6" s="85">
        <f t="shared" si="0"/>
        <v>5349.7127006142255</v>
      </c>
      <c r="E6" s="35"/>
      <c r="F6" s="80">
        <v>31309</v>
      </c>
      <c r="G6" s="80">
        <v>270</v>
      </c>
      <c r="H6" s="85">
        <f t="shared" si="1"/>
        <v>8623.7184196237504</v>
      </c>
      <c r="I6" s="35"/>
      <c r="J6" s="91">
        <f t="shared" si="4"/>
        <v>56544</v>
      </c>
      <c r="K6" s="81">
        <f t="shared" si="5"/>
        <v>405</v>
      </c>
      <c r="L6" s="85">
        <f t="shared" si="2"/>
        <v>7162.5636672325973</v>
      </c>
      <c r="N6" s="37">
        <v>0</v>
      </c>
      <c r="O6" s="2">
        <v>0</v>
      </c>
      <c r="P6" s="34" t="e">
        <f t="shared" ref="P6:P29" si="6">+O6/N6*1000000</f>
        <v>#DIV/0!</v>
      </c>
      <c r="Q6" s="42" t="e">
        <f t="shared" ref="Q6:Q35" si="7">P6+L6</f>
        <v>#DIV/0!</v>
      </c>
      <c r="R6" s="52" t="e">
        <f t="shared" si="3"/>
        <v>#DIV/0!</v>
      </c>
      <c r="S6" s="29"/>
    </row>
    <row r="7" spans="1:19" s="1" customFormat="1" ht="15" thickBot="1">
      <c r="A7" s="75">
        <v>4</v>
      </c>
      <c r="B7" s="81">
        <v>23498</v>
      </c>
      <c r="C7" s="81">
        <v>142</v>
      </c>
      <c r="D7" s="85">
        <f t="shared" si="0"/>
        <v>6043.0674951059664</v>
      </c>
      <c r="E7" s="35"/>
      <c r="F7" s="81">
        <v>33328</v>
      </c>
      <c r="G7" s="81">
        <v>302</v>
      </c>
      <c r="H7" s="85">
        <f t="shared" si="1"/>
        <v>9061.4498319731156</v>
      </c>
      <c r="I7" s="35"/>
      <c r="J7" s="91">
        <f t="shared" si="4"/>
        <v>56826</v>
      </c>
      <c r="K7" s="81">
        <f t="shared" si="5"/>
        <v>444</v>
      </c>
      <c r="L7" s="85">
        <f t="shared" si="2"/>
        <v>7813.3248864956186</v>
      </c>
      <c r="N7" s="37">
        <v>0</v>
      </c>
      <c r="O7" s="2">
        <v>0</v>
      </c>
      <c r="P7" s="34" t="e">
        <f t="shared" si="6"/>
        <v>#DIV/0!</v>
      </c>
      <c r="Q7" s="42" t="e">
        <f t="shared" si="7"/>
        <v>#DIV/0!</v>
      </c>
      <c r="R7" s="52" t="e">
        <f t="shared" si="3"/>
        <v>#DIV/0!</v>
      </c>
    </row>
    <row r="8" spans="1:19" s="1" customFormat="1" ht="15" thickBot="1">
      <c r="A8" s="75">
        <v>5</v>
      </c>
      <c r="B8" s="81">
        <v>34568</v>
      </c>
      <c r="C8" s="81">
        <v>178</v>
      </c>
      <c r="D8" s="85">
        <f t="shared" si="0"/>
        <v>5149.2710020828508</v>
      </c>
      <c r="E8" s="35"/>
      <c r="F8" s="81">
        <v>40688</v>
      </c>
      <c r="G8" s="81">
        <v>285</v>
      </c>
      <c r="H8" s="85">
        <f t="shared" si="1"/>
        <v>7004.5222178529293</v>
      </c>
      <c r="I8" s="35"/>
      <c r="J8" s="91">
        <f t="shared" si="4"/>
        <v>75256</v>
      </c>
      <c r="K8" s="81">
        <f t="shared" si="5"/>
        <v>463</v>
      </c>
      <c r="L8" s="85">
        <f t="shared" si="2"/>
        <v>6152.3333687679387</v>
      </c>
      <c r="N8" s="37">
        <v>0</v>
      </c>
      <c r="O8" s="2">
        <v>0</v>
      </c>
      <c r="P8" s="34" t="e">
        <f t="shared" si="6"/>
        <v>#DIV/0!</v>
      </c>
      <c r="Q8" s="42" t="e">
        <f t="shared" si="7"/>
        <v>#DIV/0!</v>
      </c>
      <c r="R8" s="52" t="e">
        <f t="shared" si="3"/>
        <v>#DIV/0!</v>
      </c>
      <c r="S8" s="29"/>
    </row>
    <row r="9" spans="1:19" s="1" customFormat="1" ht="15" thickBot="1">
      <c r="A9" s="75">
        <v>6</v>
      </c>
      <c r="B9" s="81">
        <v>14834</v>
      </c>
      <c r="C9" s="81">
        <v>97</v>
      </c>
      <c r="D9" s="85">
        <f t="shared" si="0"/>
        <v>6539.0319536200623</v>
      </c>
      <c r="E9" s="35"/>
      <c r="F9" s="81">
        <v>13485</v>
      </c>
      <c r="G9" s="81">
        <v>238</v>
      </c>
      <c r="H9" s="85">
        <f t="shared" si="1"/>
        <v>17649.239896180941</v>
      </c>
      <c r="I9" s="35"/>
      <c r="J9" s="91">
        <f t="shared" si="4"/>
        <v>28319</v>
      </c>
      <c r="K9" s="81">
        <f t="shared" si="5"/>
        <v>335</v>
      </c>
      <c r="L9" s="85">
        <f t="shared" si="2"/>
        <v>11829.513754016738</v>
      </c>
      <c r="N9" s="37">
        <v>0</v>
      </c>
      <c r="O9" s="2">
        <v>0</v>
      </c>
      <c r="P9" s="34" t="e">
        <f t="shared" si="6"/>
        <v>#DIV/0!</v>
      </c>
      <c r="Q9" s="42" t="e">
        <f t="shared" si="7"/>
        <v>#DIV/0!</v>
      </c>
      <c r="R9" s="52" t="e">
        <f t="shared" si="3"/>
        <v>#DIV/0!</v>
      </c>
      <c r="S9" s="29"/>
    </row>
    <row r="10" spans="1:19" s="1" customFormat="1" ht="15" thickBot="1">
      <c r="A10" s="75">
        <v>8</v>
      </c>
      <c r="B10" s="81">
        <v>21462</v>
      </c>
      <c r="C10" s="81">
        <v>133</v>
      </c>
      <c r="D10" s="85">
        <f t="shared" si="0"/>
        <v>6196.9993476842792</v>
      </c>
      <c r="E10" s="35"/>
      <c r="F10" s="81">
        <v>21485</v>
      </c>
      <c r="G10" s="81">
        <v>238</v>
      </c>
      <c r="H10" s="85">
        <f t="shared" si="1"/>
        <v>11077.495927391203</v>
      </c>
      <c r="I10" s="35"/>
      <c r="J10" s="91">
        <f t="shared" si="4"/>
        <v>42947</v>
      </c>
      <c r="K10" s="81">
        <f t="shared" si="5"/>
        <v>371</v>
      </c>
      <c r="L10" s="85">
        <f t="shared" si="2"/>
        <v>8638.5544974037784</v>
      </c>
      <c r="N10" s="37">
        <v>0</v>
      </c>
      <c r="O10" s="2">
        <v>0</v>
      </c>
      <c r="P10" s="34" t="e">
        <f t="shared" si="6"/>
        <v>#DIV/0!</v>
      </c>
      <c r="Q10" s="42" t="e">
        <f t="shared" si="7"/>
        <v>#DIV/0!</v>
      </c>
      <c r="R10" s="52" t="e">
        <f t="shared" si="3"/>
        <v>#DIV/0!</v>
      </c>
      <c r="S10" s="29"/>
    </row>
    <row r="11" spans="1:19" s="1" customFormat="1" ht="15" thickBot="1">
      <c r="A11" s="75">
        <v>9</v>
      </c>
      <c r="B11" s="81">
        <v>12445</v>
      </c>
      <c r="C11" s="81">
        <v>147</v>
      </c>
      <c r="D11" s="85">
        <f t="shared" si="0"/>
        <v>11811.972679791081</v>
      </c>
      <c r="E11" s="35"/>
      <c r="F11" s="81">
        <v>14170</v>
      </c>
      <c r="G11" s="81">
        <v>191</v>
      </c>
      <c r="H11" s="85">
        <f t="shared" si="1"/>
        <v>13479.181369089627</v>
      </c>
      <c r="I11" s="35"/>
      <c r="J11" s="91">
        <f t="shared" si="4"/>
        <v>26615</v>
      </c>
      <c r="K11" s="81">
        <f t="shared" si="5"/>
        <v>338</v>
      </c>
      <c r="L11" s="85">
        <f t="shared" si="2"/>
        <v>12699.605485628404</v>
      </c>
      <c r="N11" s="37">
        <v>0</v>
      </c>
      <c r="O11" s="2">
        <v>0</v>
      </c>
      <c r="P11" s="34" t="e">
        <f t="shared" si="6"/>
        <v>#DIV/0!</v>
      </c>
      <c r="Q11" s="42" t="e">
        <f t="shared" si="7"/>
        <v>#DIV/0!</v>
      </c>
      <c r="R11" s="52" t="e">
        <f t="shared" si="3"/>
        <v>#DIV/0!</v>
      </c>
      <c r="S11" s="29"/>
    </row>
    <row r="12" spans="1:19" s="1" customFormat="1" ht="15" thickBot="1">
      <c r="A12" s="75">
        <v>10</v>
      </c>
      <c r="B12" s="81">
        <v>20383</v>
      </c>
      <c r="C12" s="81">
        <v>95</v>
      </c>
      <c r="D12" s="85">
        <f t="shared" ref="D12:D35" si="8">C12/B12*1000000</f>
        <v>4660.7467006819406</v>
      </c>
      <c r="E12" s="35"/>
      <c r="F12" s="81">
        <v>21273</v>
      </c>
      <c r="G12" s="81">
        <v>215</v>
      </c>
      <c r="H12" s="85">
        <f t="shared" ref="H12:H35" si="9">G12/F12*1000000</f>
        <v>10106.708033657689</v>
      </c>
      <c r="I12" s="35"/>
      <c r="J12" s="91">
        <f t="shared" si="4"/>
        <v>41656</v>
      </c>
      <c r="K12" s="81">
        <f t="shared" si="5"/>
        <v>310</v>
      </c>
      <c r="L12" s="85">
        <f t="shared" si="2"/>
        <v>7441.9051277126937</v>
      </c>
      <c r="N12" s="37">
        <v>0</v>
      </c>
      <c r="O12" s="2">
        <v>0</v>
      </c>
      <c r="P12" s="34" t="e">
        <f t="shared" si="6"/>
        <v>#DIV/0!</v>
      </c>
      <c r="Q12" s="42" t="e">
        <f t="shared" si="7"/>
        <v>#DIV/0!</v>
      </c>
      <c r="R12" s="52" t="e">
        <f t="shared" si="3"/>
        <v>#DIV/0!</v>
      </c>
      <c r="S12" s="29"/>
    </row>
    <row r="13" spans="1:19" s="1" customFormat="1" ht="15" thickBot="1">
      <c r="A13" s="75">
        <v>11</v>
      </c>
      <c r="B13" s="81">
        <v>46769</v>
      </c>
      <c r="C13" s="81">
        <v>191</v>
      </c>
      <c r="D13" s="85">
        <f t="shared" si="8"/>
        <v>4083.9017297782716</v>
      </c>
      <c r="E13" s="35"/>
      <c r="F13" s="81">
        <v>60182</v>
      </c>
      <c r="G13" s="81">
        <v>515</v>
      </c>
      <c r="H13" s="85">
        <f t="shared" si="9"/>
        <v>8557.3759595892461</v>
      </c>
      <c r="I13" s="35"/>
      <c r="J13" s="91">
        <f t="shared" si="4"/>
        <v>106951</v>
      </c>
      <c r="K13" s="81">
        <f t="shared" si="5"/>
        <v>706</v>
      </c>
      <c r="L13" s="85">
        <f t="shared" si="2"/>
        <v>6601.1537994034652</v>
      </c>
      <c r="N13" s="37">
        <v>0</v>
      </c>
      <c r="O13" s="2">
        <v>0</v>
      </c>
      <c r="P13" s="34" t="e">
        <f t="shared" si="6"/>
        <v>#DIV/0!</v>
      </c>
      <c r="Q13" s="42" t="e">
        <f t="shared" si="7"/>
        <v>#DIV/0!</v>
      </c>
      <c r="R13" s="52" t="e">
        <f t="shared" si="3"/>
        <v>#DIV/0!</v>
      </c>
    </row>
    <row r="14" spans="1:19" s="1" customFormat="1" ht="15" thickBot="1">
      <c r="A14" s="75">
        <v>12</v>
      </c>
      <c r="B14" s="81">
        <v>32847</v>
      </c>
      <c r="C14" s="81">
        <v>120</v>
      </c>
      <c r="D14" s="85">
        <f t="shared" si="8"/>
        <v>3653.301671385515</v>
      </c>
      <c r="E14" s="35"/>
      <c r="F14" s="81">
        <v>34377</v>
      </c>
      <c r="G14" s="81">
        <v>426</v>
      </c>
      <c r="H14" s="85">
        <f t="shared" si="9"/>
        <v>12392.006283270792</v>
      </c>
      <c r="I14" s="35"/>
      <c r="J14" s="91">
        <f t="shared" si="4"/>
        <v>67224</v>
      </c>
      <c r="K14" s="81">
        <f t="shared" si="5"/>
        <v>546</v>
      </c>
      <c r="L14" s="85">
        <f t="shared" si="2"/>
        <v>8122.0992502677618</v>
      </c>
      <c r="N14" s="37">
        <v>0</v>
      </c>
      <c r="O14" s="2">
        <v>0</v>
      </c>
      <c r="P14" s="34" t="e">
        <f t="shared" si="6"/>
        <v>#DIV/0!</v>
      </c>
      <c r="Q14" s="42" t="e">
        <f t="shared" si="7"/>
        <v>#DIV/0!</v>
      </c>
      <c r="R14" s="52" t="e">
        <f t="shared" si="3"/>
        <v>#DIV/0!</v>
      </c>
      <c r="S14" s="29"/>
    </row>
    <row r="15" spans="1:19" s="1" customFormat="1" ht="15" thickBot="1">
      <c r="A15" s="75">
        <v>13</v>
      </c>
      <c r="B15" s="81">
        <v>21370</v>
      </c>
      <c r="C15" s="81">
        <v>58</v>
      </c>
      <c r="D15" s="85">
        <f t="shared" si="8"/>
        <v>2714.0851661207298</v>
      </c>
      <c r="E15" s="35"/>
      <c r="F15" s="81">
        <v>17373</v>
      </c>
      <c r="G15" s="81">
        <v>152</v>
      </c>
      <c r="H15" s="85">
        <f t="shared" si="9"/>
        <v>8749.2085419904452</v>
      </c>
      <c r="I15" s="35"/>
      <c r="J15" s="91">
        <f t="shared" si="4"/>
        <v>38743</v>
      </c>
      <c r="K15" s="81">
        <f t="shared" si="5"/>
        <v>210</v>
      </c>
      <c r="L15" s="85">
        <f t="shared" si="2"/>
        <v>5420.3339958185998</v>
      </c>
      <c r="N15" s="37">
        <v>0</v>
      </c>
      <c r="O15" s="2">
        <v>0</v>
      </c>
      <c r="P15" s="34" t="e">
        <f t="shared" si="6"/>
        <v>#DIV/0!</v>
      </c>
      <c r="Q15" s="42" t="e">
        <f t="shared" si="7"/>
        <v>#DIV/0!</v>
      </c>
      <c r="R15" s="52" t="e">
        <f t="shared" si="3"/>
        <v>#DIV/0!</v>
      </c>
      <c r="S15" s="29"/>
    </row>
    <row r="16" spans="1:19" s="1" customFormat="1" ht="15" thickBot="1">
      <c r="A16" s="75">
        <v>14</v>
      </c>
      <c r="B16" s="81">
        <v>9435</v>
      </c>
      <c r="C16" s="81">
        <v>28</v>
      </c>
      <c r="D16" s="85">
        <f t="shared" si="8"/>
        <v>2967.6735559088497</v>
      </c>
      <c r="E16" s="35"/>
      <c r="F16" s="81">
        <v>2865</v>
      </c>
      <c r="G16" s="81">
        <v>58</v>
      </c>
      <c r="H16" s="85">
        <f t="shared" si="9"/>
        <v>20244.328097731239</v>
      </c>
      <c r="I16" s="35"/>
      <c r="J16" s="91">
        <f t="shared" si="4"/>
        <v>12300</v>
      </c>
      <c r="K16" s="81">
        <f t="shared" si="5"/>
        <v>86</v>
      </c>
      <c r="L16" s="85">
        <f t="shared" si="2"/>
        <v>6991.8699186991871</v>
      </c>
      <c r="N16" s="37">
        <v>0</v>
      </c>
      <c r="O16" s="2">
        <v>0</v>
      </c>
      <c r="P16" s="34" t="e">
        <f t="shared" si="6"/>
        <v>#DIV/0!</v>
      </c>
      <c r="Q16" s="42" t="e">
        <f t="shared" si="7"/>
        <v>#DIV/0!</v>
      </c>
      <c r="R16" s="52" t="e">
        <f t="shared" si="3"/>
        <v>#DIV/0!</v>
      </c>
    </row>
    <row r="17" spans="1:18" s="1" customFormat="1" ht="15" thickBot="1">
      <c r="A17" s="75">
        <v>15</v>
      </c>
      <c r="B17" s="81">
        <v>11546</v>
      </c>
      <c r="C17" s="81">
        <v>37</v>
      </c>
      <c r="D17" s="85">
        <f t="shared" si="8"/>
        <v>3204.5730122986315</v>
      </c>
      <c r="E17" s="35"/>
      <c r="F17" s="81">
        <v>26057</v>
      </c>
      <c r="G17" s="81">
        <v>172</v>
      </c>
      <c r="H17" s="85">
        <f t="shared" si="9"/>
        <v>6600.9133822005606</v>
      </c>
      <c r="I17" s="35"/>
      <c r="J17" s="91">
        <f t="shared" si="4"/>
        <v>37603</v>
      </c>
      <c r="K17" s="81">
        <f t="shared" si="5"/>
        <v>209</v>
      </c>
      <c r="L17" s="85">
        <f t="shared" si="2"/>
        <v>5558.0671754913174</v>
      </c>
      <c r="N17" s="37">
        <v>0</v>
      </c>
      <c r="O17" s="2">
        <v>0</v>
      </c>
      <c r="P17" s="34" t="e">
        <f t="shared" si="6"/>
        <v>#DIV/0!</v>
      </c>
      <c r="Q17" s="42" t="e">
        <f t="shared" si="7"/>
        <v>#DIV/0!</v>
      </c>
      <c r="R17" s="52" t="e">
        <f t="shared" si="3"/>
        <v>#DIV/0!</v>
      </c>
    </row>
    <row r="18" spans="1:18" s="1" customFormat="1" ht="15" thickBot="1">
      <c r="A18" s="75">
        <v>16</v>
      </c>
      <c r="B18" s="81">
        <v>16970</v>
      </c>
      <c r="C18" s="81">
        <v>117</v>
      </c>
      <c r="D18" s="85">
        <f t="shared" si="8"/>
        <v>6894.5197407189162</v>
      </c>
      <c r="E18" s="35"/>
      <c r="F18" s="81">
        <v>25280</v>
      </c>
      <c r="G18" s="81">
        <v>267</v>
      </c>
      <c r="H18" s="85">
        <f t="shared" si="9"/>
        <v>10561.708860759494</v>
      </c>
      <c r="I18" s="35"/>
      <c r="J18" s="91">
        <f t="shared" si="4"/>
        <v>42250</v>
      </c>
      <c r="K18" s="81">
        <f t="shared" si="5"/>
        <v>384</v>
      </c>
      <c r="L18" s="85">
        <f t="shared" si="2"/>
        <v>9088.7573964497042</v>
      </c>
      <c r="N18" s="37">
        <v>0</v>
      </c>
      <c r="O18" s="2">
        <v>0</v>
      </c>
      <c r="P18" s="34" t="e">
        <f t="shared" si="6"/>
        <v>#DIV/0!</v>
      </c>
      <c r="Q18" s="42" t="e">
        <f t="shared" si="7"/>
        <v>#DIV/0!</v>
      </c>
      <c r="R18" s="52" t="e">
        <f t="shared" si="3"/>
        <v>#DIV/0!</v>
      </c>
    </row>
    <row r="19" spans="1:18" s="1" customFormat="1" ht="15" thickBot="1">
      <c r="A19" s="75"/>
      <c r="B19" s="81">
        <v>0</v>
      </c>
      <c r="C19" s="81">
        <v>0</v>
      </c>
      <c r="D19" s="85" t="e">
        <f t="shared" si="8"/>
        <v>#DIV/0!</v>
      </c>
      <c r="E19" s="35"/>
      <c r="F19" s="81">
        <v>0</v>
      </c>
      <c r="G19" s="81">
        <v>0</v>
      </c>
      <c r="H19" s="85" t="e">
        <f t="shared" si="9"/>
        <v>#DIV/0!</v>
      </c>
      <c r="I19" s="35"/>
      <c r="J19" s="91">
        <f t="shared" si="4"/>
        <v>0</v>
      </c>
      <c r="K19" s="81">
        <f t="shared" si="5"/>
        <v>0</v>
      </c>
      <c r="L19" s="85" t="e">
        <f t="shared" si="2"/>
        <v>#DIV/0!</v>
      </c>
      <c r="N19" s="37">
        <v>0</v>
      </c>
      <c r="O19" s="2">
        <v>0</v>
      </c>
      <c r="P19" s="34" t="e">
        <f t="shared" si="6"/>
        <v>#DIV/0!</v>
      </c>
      <c r="Q19" s="42" t="e">
        <f t="shared" si="7"/>
        <v>#DIV/0!</v>
      </c>
      <c r="R19" s="52" t="e">
        <f t="shared" si="3"/>
        <v>#DIV/0!</v>
      </c>
    </row>
    <row r="20" spans="1:18" s="1" customFormat="1" ht="15" thickBot="1">
      <c r="A20" s="75"/>
      <c r="B20" s="81">
        <v>0</v>
      </c>
      <c r="C20" s="81">
        <v>0</v>
      </c>
      <c r="D20" s="85" t="e">
        <f t="shared" si="8"/>
        <v>#DIV/0!</v>
      </c>
      <c r="E20" s="35"/>
      <c r="F20" s="81">
        <v>0</v>
      </c>
      <c r="G20" s="81">
        <v>0</v>
      </c>
      <c r="H20" s="85" t="e">
        <f t="shared" si="9"/>
        <v>#DIV/0!</v>
      </c>
      <c r="I20" s="35"/>
      <c r="J20" s="91">
        <f t="shared" si="4"/>
        <v>0</v>
      </c>
      <c r="K20" s="81">
        <f t="shared" si="5"/>
        <v>0</v>
      </c>
      <c r="L20" s="85" t="e">
        <f t="shared" si="2"/>
        <v>#DIV/0!</v>
      </c>
      <c r="N20" s="37">
        <v>0</v>
      </c>
      <c r="O20" s="2">
        <v>0</v>
      </c>
      <c r="P20" s="34" t="e">
        <f t="shared" si="6"/>
        <v>#DIV/0!</v>
      </c>
      <c r="Q20" s="42" t="e">
        <f t="shared" si="7"/>
        <v>#DIV/0!</v>
      </c>
      <c r="R20" s="52" t="e">
        <f t="shared" si="3"/>
        <v>#DIV/0!</v>
      </c>
    </row>
    <row r="21" spans="1:18" s="1" customFormat="1" ht="15" thickBot="1">
      <c r="A21" s="75"/>
      <c r="B21" s="81">
        <v>0</v>
      </c>
      <c r="C21" s="81">
        <v>0</v>
      </c>
      <c r="D21" s="85" t="e">
        <f t="shared" si="8"/>
        <v>#DIV/0!</v>
      </c>
      <c r="E21" s="35"/>
      <c r="F21" s="81">
        <v>0</v>
      </c>
      <c r="G21" s="81">
        <v>0</v>
      </c>
      <c r="H21" s="85" t="e">
        <f t="shared" si="9"/>
        <v>#DIV/0!</v>
      </c>
      <c r="I21" s="35"/>
      <c r="J21" s="91">
        <f t="shared" si="4"/>
        <v>0</v>
      </c>
      <c r="K21" s="81">
        <f t="shared" si="5"/>
        <v>0</v>
      </c>
      <c r="L21" s="85" t="e">
        <f t="shared" si="2"/>
        <v>#DIV/0!</v>
      </c>
      <c r="N21" s="37">
        <v>0</v>
      </c>
      <c r="O21" s="2">
        <v>0</v>
      </c>
      <c r="P21" s="34" t="e">
        <f t="shared" si="6"/>
        <v>#DIV/0!</v>
      </c>
      <c r="Q21" s="42" t="e">
        <f t="shared" si="7"/>
        <v>#DIV/0!</v>
      </c>
      <c r="R21" s="52" t="e">
        <f t="shared" si="3"/>
        <v>#DIV/0!</v>
      </c>
    </row>
    <row r="22" spans="1:18" s="1" customFormat="1" ht="15" thickBot="1">
      <c r="A22" s="75"/>
      <c r="B22" s="81">
        <v>0</v>
      </c>
      <c r="C22" s="81">
        <v>0</v>
      </c>
      <c r="D22" s="85" t="e">
        <f t="shared" si="8"/>
        <v>#DIV/0!</v>
      </c>
      <c r="E22" s="35"/>
      <c r="F22" s="81">
        <v>0</v>
      </c>
      <c r="G22" s="81">
        <v>0</v>
      </c>
      <c r="H22" s="85" t="e">
        <f t="shared" si="9"/>
        <v>#DIV/0!</v>
      </c>
      <c r="I22" s="35"/>
      <c r="J22" s="91">
        <f t="shared" si="4"/>
        <v>0</v>
      </c>
      <c r="K22" s="81">
        <f t="shared" si="5"/>
        <v>0</v>
      </c>
      <c r="L22" s="85" t="e">
        <f t="shared" si="2"/>
        <v>#DIV/0!</v>
      </c>
      <c r="N22" s="37">
        <v>0</v>
      </c>
      <c r="O22" s="2">
        <v>0</v>
      </c>
      <c r="P22" s="34" t="e">
        <f t="shared" si="6"/>
        <v>#DIV/0!</v>
      </c>
      <c r="Q22" s="42" t="e">
        <f t="shared" si="7"/>
        <v>#DIV/0!</v>
      </c>
      <c r="R22" s="52" t="e">
        <f t="shared" si="3"/>
        <v>#DIV/0!</v>
      </c>
    </row>
    <row r="23" spans="1:18" s="1" customFormat="1" ht="15" thickBot="1">
      <c r="A23" s="75"/>
      <c r="B23" s="81">
        <v>0</v>
      </c>
      <c r="C23" s="81">
        <v>0</v>
      </c>
      <c r="D23" s="85" t="e">
        <f t="shared" si="8"/>
        <v>#DIV/0!</v>
      </c>
      <c r="E23" s="35"/>
      <c r="F23" s="81">
        <v>0</v>
      </c>
      <c r="G23" s="81">
        <v>0</v>
      </c>
      <c r="H23" s="85" t="e">
        <f t="shared" si="9"/>
        <v>#DIV/0!</v>
      </c>
      <c r="I23" s="35"/>
      <c r="J23" s="91">
        <f t="shared" si="4"/>
        <v>0</v>
      </c>
      <c r="K23" s="81">
        <f t="shared" si="5"/>
        <v>0</v>
      </c>
      <c r="L23" s="85" t="e">
        <f t="shared" si="2"/>
        <v>#DIV/0!</v>
      </c>
      <c r="N23" s="37">
        <v>0</v>
      </c>
      <c r="O23" s="2">
        <v>0</v>
      </c>
      <c r="P23" s="34" t="e">
        <f t="shared" si="6"/>
        <v>#DIV/0!</v>
      </c>
      <c r="Q23" s="42" t="e">
        <f t="shared" si="7"/>
        <v>#DIV/0!</v>
      </c>
      <c r="R23" s="52" t="e">
        <f t="shared" si="3"/>
        <v>#DIV/0!</v>
      </c>
    </row>
    <row r="24" spans="1:18" s="1" customFormat="1" ht="15" thickBot="1">
      <c r="A24" s="75"/>
      <c r="B24" s="81">
        <v>0</v>
      </c>
      <c r="C24" s="81">
        <v>0</v>
      </c>
      <c r="D24" s="85" t="e">
        <f t="shared" si="8"/>
        <v>#DIV/0!</v>
      </c>
      <c r="E24" s="35"/>
      <c r="F24" s="81">
        <v>0</v>
      </c>
      <c r="G24" s="81">
        <v>0</v>
      </c>
      <c r="H24" s="85" t="e">
        <f t="shared" si="9"/>
        <v>#DIV/0!</v>
      </c>
      <c r="I24" s="35"/>
      <c r="J24" s="91">
        <f t="shared" si="4"/>
        <v>0</v>
      </c>
      <c r="K24" s="81">
        <f t="shared" si="5"/>
        <v>0</v>
      </c>
      <c r="L24" s="85" t="e">
        <f t="shared" si="2"/>
        <v>#DIV/0!</v>
      </c>
      <c r="N24" s="37">
        <v>0</v>
      </c>
      <c r="O24" s="2">
        <v>0</v>
      </c>
      <c r="P24" s="34" t="e">
        <f t="shared" si="6"/>
        <v>#DIV/0!</v>
      </c>
      <c r="Q24" s="42" t="e">
        <f t="shared" si="7"/>
        <v>#DIV/0!</v>
      </c>
      <c r="R24" s="52" t="e">
        <f t="shared" si="3"/>
        <v>#DIV/0!</v>
      </c>
    </row>
    <row r="25" spans="1:18" s="1" customFormat="1" ht="15" thickBot="1">
      <c r="A25" s="75"/>
      <c r="B25" s="82">
        <v>0</v>
      </c>
      <c r="C25" s="82">
        <v>0</v>
      </c>
      <c r="D25" s="85" t="e">
        <f t="shared" si="8"/>
        <v>#DIV/0!</v>
      </c>
      <c r="E25" s="35"/>
      <c r="F25" s="82">
        <v>0</v>
      </c>
      <c r="G25" s="82">
        <v>0</v>
      </c>
      <c r="H25" s="85" t="e">
        <f t="shared" si="9"/>
        <v>#DIV/0!</v>
      </c>
      <c r="I25" s="35"/>
      <c r="J25" s="91">
        <f t="shared" si="4"/>
        <v>0</v>
      </c>
      <c r="K25" s="81">
        <f t="shared" si="5"/>
        <v>0</v>
      </c>
      <c r="L25" s="85" t="e">
        <f t="shared" si="2"/>
        <v>#DIV/0!</v>
      </c>
      <c r="N25" s="37">
        <v>0</v>
      </c>
      <c r="O25" s="2">
        <v>0</v>
      </c>
      <c r="P25" s="34" t="e">
        <f t="shared" si="6"/>
        <v>#DIV/0!</v>
      </c>
      <c r="Q25" s="42" t="e">
        <f t="shared" si="7"/>
        <v>#DIV/0!</v>
      </c>
      <c r="R25" s="52" t="e">
        <f t="shared" si="3"/>
        <v>#DIV/0!</v>
      </c>
    </row>
    <row r="26" spans="1:18" s="1" customFormat="1" ht="15" thickBot="1">
      <c r="A26" s="75"/>
      <c r="B26" s="81">
        <v>0</v>
      </c>
      <c r="C26" s="81">
        <v>0</v>
      </c>
      <c r="D26" s="85" t="e">
        <f t="shared" si="8"/>
        <v>#DIV/0!</v>
      </c>
      <c r="E26" s="35"/>
      <c r="F26" s="81">
        <v>0</v>
      </c>
      <c r="G26" s="81">
        <v>0</v>
      </c>
      <c r="H26" s="85" t="e">
        <f t="shared" si="9"/>
        <v>#DIV/0!</v>
      </c>
      <c r="I26" s="35"/>
      <c r="J26" s="91">
        <f t="shared" si="4"/>
        <v>0</v>
      </c>
      <c r="K26" s="81">
        <f t="shared" si="5"/>
        <v>0</v>
      </c>
      <c r="L26" s="85" t="e">
        <f t="shared" si="2"/>
        <v>#DIV/0!</v>
      </c>
      <c r="N26" s="37">
        <v>0</v>
      </c>
      <c r="O26" s="2">
        <v>0</v>
      </c>
      <c r="P26" s="34" t="e">
        <f t="shared" si="6"/>
        <v>#DIV/0!</v>
      </c>
      <c r="Q26" s="42" t="e">
        <f t="shared" si="7"/>
        <v>#DIV/0!</v>
      </c>
      <c r="R26" s="52" t="e">
        <f t="shared" si="3"/>
        <v>#DIV/0!</v>
      </c>
    </row>
    <row r="27" spans="1:18" s="1" customFormat="1" ht="15" thickBot="1">
      <c r="A27" s="75"/>
      <c r="B27" s="81">
        <v>0</v>
      </c>
      <c r="C27" s="81">
        <v>0</v>
      </c>
      <c r="D27" s="85" t="e">
        <f t="shared" si="8"/>
        <v>#DIV/0!</v>
      </c>
      <c r="E27" s="35"/>
      <c r="F27" s="81">
        <v>0</v>
      </c>
      <c r="G27" s="81">
        <v>0</v>
      </c>
      <c r="H27" s="85" t="e">
        <f t="shared" si="9"/>
        <v>#DIV/0!</v>
      </c>
      <c r="I27" s="35"/>
      <c r="J27" s="91">
        <f t="shared" si="4"/>
        <v>0</v>
      </c>
      <c r="K27" s="81">
        <f t="shared" si="5"/>
        <v>0</v>
      </c>
      <c r="L27" s="85" t="e">
        <f t="shared" si="2"/>
        <v>#DIV/0!</v>
      </c>
      <c r="N27" s="37">
        <v>0</v>
      </c>
      <c r="O27" s="2">
        <v>0</v>
      </c>
      <c r="P27" s="34" t="e">
        <f t="shared" si="6"/>
        <v>#DIV/0!</v>
      </c>
      <c r="Q27" s="42" t="e">
        <f t="shared" si="7"/>
        <v>#DIV/0!</v>
      </c>
      <c r="R27" s="52" t="e">
        <f t="shared" si="3"/>
        <v>#DIV/0!</v>
      </c>
    </row>
    <row r="28" spans="1:18" s="1" customFormat="1" ht="15" thickBot="1">
      <c r="A28" s="75"/>
      <c r="B28" s="81">
        <v>0</v>
      </c>
      <c r="C28" s="81">
        <v>0</v>
      </c>
      <c r="D28" s="85" t="e">
        <f t="shared" si="8"/>
        <v>#DIV/0!</v>
      </c>
      <c r="E28" s="35"/>
      <c r="F28" s="81">
        <v>0</v>
      </c>
      <c r="G28" s="81">
        <v>0</v>
      </c>
      <c r="H28" s="85" t="e">
        <f t="shared" si="9"/>
        <v>#DIV/0!</v>
      </c>
      <c r="I28" s="35"/>
      <c r="J28" s="91">
        <f t="shared" si="4"/>
        <v>0</v>
      </c>
      <c r="K28" s="81">
        <f t="shared" si="5"/>
        <v>0</v>
      </c>
      <c r="L28" s="85" t="e">
        <f t="shared" si="2"/>
        <v>#DIV/0!</v>
      </c>
      <c r="N28" s="37">
        <v>0</v>
      </c>
      <c r="O28" s="2">
        <v>0</v>
      </c>
      <c r="P28" s="34" t="e">
        <f t="shared" si="6"/>
        <v>#DIV/0!</v>
      </c>
      <c r="Q28" s="42" t="e">
        <f t="shared" si="7"/>
        <v>#DIV/0!</v>
      </c>
      <c r="R28" s="52" t="e">
        <f t="shared" si="3"/>
        <v>#DIV/0!</v>
      </c>
    </row>
    <row r="29" spans="1:18" s="1" customFormat="1" ht="15" thickBot="1">
      <c r="A29" s="75"/>
      <c r="B29" s="81">
        <v>0</v>
      </c>
      <c r="C29" s="81">
        <v>0</v>
      </c>
      <c r="D29" s="85" t="e">
        <f t="shared" si="8"/>
        <v>#DIV/0!</v>
      </c>
      <c r="E29" s="35"/>
      <c r="F29" s="81">
        <v>0</v>
      </c>
      <c r="G29" s="81">
        <v>0</v>
      </c>
      <c r="H29" s="85" t="e">
        <f t="shared" si="9"/>
        <v>#DIV/0!</v>
      </c>
      <c r="I29" s="35"/>
      <c r="J29" s="91">
        <f t="shared" si="4"/>
        <v>0</v>
      </c>
      <c r="K29" s="81">
        <f t="shared" si="5"/>
        <v>0</v>
      </c>
      <c r="L29" s="85" t="e">
        <f t="shared" si="2"/>
        <v>#DIV/0!</v>
      </c>
      <c r="N29" s="37">
        <v>0</v>
      </c>
      <c r="O29" s="2">
        <v>0</v>
      </c>
      <c r="P29" s="34" t="e">
        <f t="shared" si="6"/>
        <v>#DIV/0!</v>
      </c>
      <c r="Q29" s="42" t="e">
        <f t="shared" si="7"/>
        <v>#DIV/0!</v>
      </c>
      <c r="R29" s="52" t="e">
        <f t="shared" si="3"/>
        <v>#DIV/0!</v>
      </c>
    </row>
    <row r="30" spans="1:18" s="1" customFormat="1" ht="15" thickBot="1">
      <c r="A30" s="75"/>
      <c r="B30" s="81">
        <v>0</v>
      </c>
      <c r="C30" s="81">
        <v>0</v>
      </c>
      <c r="D30" s="85" t="e">
        <f t="shared" si="8"/>
        <v>#DIV/0!</v>
      </c>
      <c r="E30" s="35"/>
      <c r="F30" s="81">
        <v>0</v>
      </c>
      <c r="G30" s="81">
        <v>0</v>
      </c>
      <c r="H30" s="85" t="e">
        <f t="shared" si="9"/>
        <v>#DIV/0!</v>
      </c>
      <c r="I30" s="35"/>
      <c r="J30" s="91">
        <f t="shared" si="4"/>
        <v>0</v>
      </c>
      <c r="K30" s="81">
        <f t="shared" si="5"/>
        <v>0</v>
      </c>
      <c r="L30" s="85" t="e">
        <f t="shared" si="2"/>
        <v>#DIV/0!</v>
      </c>
      <c r="N30" s="37">
        <v>0</v>
      </c>
      <c r="O30" s="2">
        <v>0</v>
      </c>
      <c r="P30" s="34" t="e">
        <f>+O30/N30*1000000</f>
        <v>#DIV/0!</v>
      </c>
      <c r="Q30" s="42" t="e">
        <f t="shared" si="7"/>
        <v>#DIV/0!</v>
      </c>
      <c r="R30" s="52" t="e">
        <f t="shared" si="3"/>
        <v>#DIV/0!</v>
      </c>
    </row>
    <row r="31" spans="1:18" s="32" customFormat="1" ht="15" thickBot="1">
      <c r="A31" s="75"/>
      <c r="B31" s="81">
        <v>0</v>
      </c>
      <c r="C31" s="81">
        <v>0</v>
      </c>
      <c r="D31" s="85" t="e">
        <f t="shared" si="8"/>
        <v>#DIV/0!</v>
      </c>
      <c r="E31" s="35"/>
      <c r="F31" s="81">
        <v>0</v>
      </c>
      <c r="G31" s="81">
        <v>0</v>
      </c>
      <c r="H31" s="85" t="e">
        <f t="shared" si="9"/>
        <v>#DIV/0!</v>
      </c>
      <c r="I31" s="35"/>
      <c r="J31" s="91">
        <f t="shared" si="4"/>
        <v>0</v>
      </c>
      <c r="K31" s="81">
        <f t="shared" si="5"/>
        <v>0</v>
      </c>
      <c r="L31" s="85" t="e">
        <f t="shared" ref="L31:L33" si="10">+K31/J31*1000000</f>
        <v>#DIV/0!</v>
      </c>
      <c r="N31" s="37">
        <v>0</v>
      </c>
      <c r="O31" s="2">
        <v>0</v>
      </c>
      <c r="P31" s="34" t="e">
        <f t="shared" ref="P31:P35" si="11">+O31/N31*1000000</f>
        <v>#DIV/0!</v>
      </c>
      <c r="Q31" s="42" t="e">
        <f t="shared" si="7"/>
        <v>#DIV/0!</v>
      </c>
      <c r="R31" s="52" t="e">
        <f t="shared" si="3"/>
        <v>#DIV/0!</v>
      </c>
    </row>
    <row r="32" spans="1:18" s="32" customFormat="1" ht="15" thickBot="1">
      <c r="A32" s="75"/>
      <c r="B32" s="81">
        <v>0</v>
      </c>
      <c r="C32" s="81">
        <v>0</v>
      </c>
      <c r="D32" s="85" t="e">
        <f t="shared" si="8"/>
        <v>#DIV/0!</v>
      </c>
      <c r="E32" s="35"/>
      <c r="F32" s="81">
        <v>0</v>
      </c>
      <c r="G32" s="81">
        <v>0</v>
      </c>
      <c r="H32" s="85" t="e">
        <f t="shared" si="9"/>
        <v>#DIV/0!</v>
      </c>
      <c r="I32" s="35"/>
      <c r="J32" s="91">
        <f t="shared" si="4"/>
        <v>0</v>
      </c>
      <c r="K32" s="81">
        <f t="shared" si="5"/>
        <v>0</v>
      </c>
      <c r="L32" s="85" t="e">
        <f t="shared" si="10"/>
        <v>#DIV/0!</v>
      </c>
      <c r="N32" s="37">
        <v>0</v>
      </c>
      <c r="O32" s="2">
        <v>0</v>
      </c>
      <c r="P32" s="34" t="e">
        <f t="shared" si="11"/>
        <v>#DIV/0!</v>
      </c>
      <c r="Q32" s="42" t="e">
        <f t="shared" si="7"/>
        <v>#DIV/0!</v>
      </c>
      <c r="R32" s="52" t="e">
        <f t="shared" si="3"/>
        <v>#DIV/0!</v>
      </c>
    </row>
    <row r="33" spans="1:25" s="32" customFormat="1" ht="15" thickBot="1">
      <c r="A33" s="75"/>
      <c r="B33" s="81">
        <v>0</v>
      </c>
      <c r="C33" s="81">
        <v>0</v>
      </c>
      <c r="D33" s="85" t="e">
        <f t="shared" si="8"/>
        <v>#DIV/0!</v>
      </c>
      <c r="E33" s="35"/>
      <c r="F33" s="81">
        <v>0</v>
      </c>
      <c r="G33" s="81">
        <v>0</v>
      </c>
      <c r="H33" s="85" t="e">
        <f t="shared" si="9"/>
        <v>#DIV/0!</v>
      </c>
      <c r="I33" s="35"/>
      <c r="J33" s="91">
        <f t="shared" si="4"/>
        <v>0</v>
      </c>
      <c r="K33" s="81">
        <f t="shared" si="5"/>
        <v>0</v>
      </c>
      <c r="L33" s="85" t="e">
        <f t="shared" si="10"/>
        <v>#DIV/0!</v>
      </c>
      <c r="N33" s="37">
        <v>0</v>
      </c>
      <c r="O33" s="2">
        <v>0</v>
      </c>
      <c r="P33" s="34" t="e">
        <f t="shared" si="11"/>
        <v>#DIV/0!</v>
      </c>
      <c r="Q33" s="42" t="e">
        <f t="shared" si="7"/>
        <v>#DIV/0!</v>
      </c>
      <c r="R33" s="52" t="e">
        <f t="shared" si="3"/>
        <v>#DIV/0!</v>
      </c>
    </row>
    <row r="34" spans="1:25" s="32" customFormat="1">
      <c r="A34" s="75"/>
      <c r="B34" s="81">
        <v>0</v>
      </c>
      <c r="C34" s="81">
        <v>0</v>
      </c>
      <c r="D34" s="85" t="e">
        <f t="shared" si="8"/>
        <v>#DIV/0!</v>
      </c>
      <c r="E34" s="35"/>
      <c r="F34" s="81">
        <v>0</v>
      </c>
      <c r="G34" s="81">
        <v>0</v>
      </c>
      <c r="H34" s="85" t="e">
        <f t="shared" si="9"/>
        <v>#DIV/0!</v>
      </c>
      <c r="I34" s="35"/>
      <c r="J34" s="91">
        <f t="shared" si="4"/>
        <v>0</v>
      </c>
      <c r="K34" s="81">
        <f t="shared" si="5"/>
        <v>0</v>
      </c>
      <c r="L34" s="85" t="e">
        <f>+K34/J34*1000000</f>
        <v>#DIV/0!</v>
      </c>
      <c r="N34" s="37">
        <v>0</v>
      </c>
      <c r="O34" s="2">
        <v>0</v>
      </c>
      <c r="P34" s="34" t="e">
        <f t="shared" si="11"/>
        <v>#DIV/0!</v>
      </c>
      <c r="Q34" s="42" t="e">
        <f t="shared" si="7"/>
        <v>#DIV/0!</v>
      </c>
      <c r="R34" s="52" t="e">
        <f t="shared" si="3"/>
        <v>#DIV/0!</v>
      </c>
    </row>
    <row r="35" spans="1:25" s="50" customFormat="1" ht="15" thickBot="1">
      <c r="A35" s="76" t="s">
        <v>8</v>
      </c>
      <c r="B35" s="83">
        <f>SUM(B4:B34)</f>
        <v>336542</v>
      </c>
      <c r="C35" s="83">
        <f>SUM(C4:C34)</f>
        <v>1737</v>
      </c>
      <c r="D35" s="86">
        <f t="shared" si="8"/>
        <v>5161.3171610081363</v>
      </c>
      <c r="E35" s="36"/>
      <c r="F35" s="83">
        <f>SUM(F4:F34)</f>
        <v>397724</v>
      </c>
      <c r="G35" s="83">
        <f>SUM(G4:G34)</f>
        <v>3947</v>
      </c>
      <c r="H35" s="86">
        <f t="shared" si="9"/>
        <v>9923.9673743601088</v>
      </c>
      <c r="I35" s="36"/>
      <c r="J35" s="92">
        <f>SUM(J4:J34)</f>
        <v>734266</v>
      </c>
      <c r="K35" s="83">
        <f>SUM(K4:K34)</f>
        <v>5684</v>
      </c>
      <c r="L35" s="86">
        <f t="shared" ref="L35" si="12">+K35/J35*1000000</f>
        <v>7741.0638651387917</v>
      </c>
      <c r="N35" s="38">
        <f>SUM(N4:N29)</f>
        <v>0</v>
      </c>
      <c r="O35" s="5">
        <f>SUM(O4:O34)</f>
        <v>0</v>
      </c>
      <c r="P35" s="6" t="e">
        <f t="shared" si="11"/>
        <v>#DIV/0!</v>
      </c>
      <c r="Q35" s="42" t="e">
        <f t="shared" si="7"/>
        <v>#DIV/0!</v>
      </c>
      <c r="R35" s="53" t="e">
        <f t="shared" ref="R35" si="13">P35/Q35</f>
        <v>#DIV/0!</v>
      </c>
    </row>
    <row r="36" spans="1:25" s="1" customFormat="1" ht="15.75" customHeight="1">
      <c r="A36" s="3"/>
      <c r="B36" s="3"/>
      <c r="C36" s="3"/>
      <c r="D36" s="3"/>
      <c r="E36" s="3"/>
      <c r="F36" s="3"/>
      <c r="G36" s="3"/>
      <c r="H36" s="3"/>
      <c r="I36" s="40"/>
      <c r="J36" s="3"/>
      <c r="K36" s="3"/>
      <c r="L36" s="3"/>
      <c r="M36" s="3"/>
      <c r="Q36" s="41"/>
      <c r="R36"/>
    </row>
    <row r="37" spans="1:25" s="1" customFormat="1">
      <c r="A37"/>
      <c r="B37"/>
      <c r="C37"/>
      <c r="D37"/>
      <c r="E37" s="32"/>
      <c r="F37"/>
      <c r="G37"/>
      <c r="H37"/>
      <c r="I37" s="39"/>
      <c r="J37"/>
      <c r="K37"/>
      <c r="L37"/>
      <c r="M37"/>
      <c r="N37"/>
      <c r="O37"/>
      <c r="P37"/>
      <c r="Q37" s="41"/>
      <c r="R37"/>
      <c r="S37"/>
    </row>
    <row r="38" spans="1:25" s="1" customFormat="1">
      <c r="A38"/>
      <c r="B38"/>
      <c r="C38"/>
      <c r="D38"/>
      <c r="E38" s="32"/>
      <c r="F38"/>
      <c r="G38"/>
      <c r="H38"/>
      <c r="I38" s="39"/>
      <c r="J38"/>
      <c r="K38"/>
      <c r="L38"/>
      <c r="M38"/>
      <c r="N38"/>
      <c r="O38"/>
      <c r="P38"/>
      <c r="Q38" s="41"/>
      <c r="R38"/>
      <c r="S38"/>
      <c r="T38"/>
      <c r="U38"/>
      <c r="V38"/>
      <c r="W38"/>
      <c r="X38"/>
      <c r="Y38"/>
    </row>
    <row r="39" spans="1:25">
      <c r="B39"/>
      <c r="C39"/>
      <c r="F39"/>
      <c r="G39"/>
      <c r="O39"/>
    </row>
    <row r="40" spans="1:25">
      <c r="B40"/>
      <c r="C40"/>
      <c r="F40"/>
      <c r="G40"/>
      <c r="O40"/>
    </row>
    <row r="41" spans="1:25">
      <c r="B41"/>
      <c r="C41"/>
      <c r="F41"/>
      <c r="G41"/>
      <c r="O41"/>
    </row>
    <row r="42" spans="1:25">
      <c r="B42"/>
      <c r="C42"/>
      <c r="F42"/>
      <c r="G42"/>
      <c r="O42"/>
    </row>
  </sheetData>
  <mergeCells count="5">
    <mergeCell ref="R2:R3"/>
    <mergeCell ref="A2:D2"/>
    <mergeCell ref="J2:L2"/>
    <mergeCell ref="N2:P2"/>
    <mergeCell ref="F2:H2"/>
  </mergeCells>
  <pageMargins left="0.7" right="0.7" top="0.75" bottom="0.75" header="0.3" footer="0.3"/>
  <pageSetup orientation="portrait" r:id="rId1"/>
  <ignoredErrors>
    <ignoredError sqref="Q12:R3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</sheetPr>
  <dimension ref="X74"/>
  <sheetViews>
    <sheetView topLeftCell="A7" zoomScale="85" zoomScaleNormal="85" workbookViewId="0">
      <selection activeCell="N84" sqref="A1:N84"/>
    </sheetView>
  </sheetViews>
  <sheetFormatPr baseColWidth="10" defaultColWidth="9.109375" defaultRowHeight="14.4"/>
  <sheetData>
    <row r="74" spans="24:24">
      <c r="X74" s="1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9" tint="-0.249977111117893"/>
  </sheetPr>
  <dimension ref="A1:DP194"/>
  <sheetViews>
    <sheetView zoomScale="70" zoomScaleNormal="70" workbookViewId="0"/>
  </sheetViews>
  <sheetFormatPr baseColWidth="10" defaultColWidth="9.109375" defaultRowHeight="14.4"/>
  <cols>
    <col min="1" max="1" width="10.6640625" style="1" customWidth="1"/>
    <col min="2" max="2" width="10" style="1" bestFit="1" customWidth="1"/>
    <col min="3" max="4" width="13.109375" style="3" bestFit="1" customWidth="1"/>
    <col min="5" max="5" width="23" style="1" customWidth="1"/>
    <col min="6" max="11" width="17.33203125" style="3" hidden="1" customWidth="1"/>
    <col min="12" max="12" width="9.109375" style="1"/>
    <col min="13" max="14" width="26.88671875" style="1" bestFit="1" customWidth="1"/>
    <col min="15" max="15" width="12.88671875" style="1" customWidth="1"/>
    <col min="16" max="16" width="12.6640625" style="1" customWidth="1"/>
    <col min="17" max="17" width="0" style="1" hidden="1" customWidth="1"/>
    <col min="18" max="32" width="9.109375" style="1"/>
    <col min="33" max="33" width="80.88671875" style="1" customWidth="1"/>
    <col min="34" max="16384" width="9.109375" style="1"/>
  </cols>
  <sheetData>
    <row r="1" spans="1:116" s="31" customFormat="1" ht="28.8">
      <c r="A1" s="31" t="s">
        <v>25</v>
      </c>
    </row>
    <row r="2" spans="1:116" s="20" customFormat="1" ht="15" thickBot="1">
      <c r="A2" s="1"/>
      <c r="B2" s="1"/>
      <c r="C2" s="1"/>
      <c r="D2" s="1"/>
      <c r="E2" s="1"/>
      <c r="F2" s="130"/>
      <c r="G2" s="130"/>
      <c r="H2" s="130"/>
      <c r="I2" s="130"/>
      <c r="J2" s="130"/>
      <c r="K2" s="13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16" s="20" customFormat="1" ht="29.4" thickBot="1">
      <c r="A3" s="1"/>
      <c r="B3" s="26" t="s">
        <v>11</v>
      </c>
      <c r="C3" s="27" t="s">
        <v>19</v>
      </c>
      <c r="D3" s="28" t="s">
        <v>20</v>
      </c>
      <c r="E3" s="9" t="s">
        <v>12</v>
      </c>
      <c r="F3" s="27" t="s">
        <v>40</v>
      </c>
      <c r="G3" s="27" t="s">
        <v>41</v>
      </c>
      <c r="H3" s="27" t="s">
        <v>42</v>
      </c>
      <c r="I3" s="27" t="s">
        <v>43</v>
      </c>
      <c r="J3" s="27" t="s">
        <v>44</v>
      </c>
      <c r="K3" s="27" t="s">
        <v>45</v>
      </c>
      <c r="L3" s="1"/>
      <c r="M3" s="205" t="s">
        <v>9</v>
      </c>
      <c r="N3" s="206"/>
      <c r="O3" s="206"/>
      <c r="P3" s="20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205" t="s">
        <v>9</v>
      </c>
      <c r="AI3" s="206"/>
      <c r="AJ3" s="206"/>
      <c r="AK3" s="20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</row>
    <row r="4" spans="1:116" s="20" customFormat="1" ht="15" thickBot="1">
      <c r="A4" s="1"/>
      <c r="B4" s="11">
        <v>1</v>
      </c>
      <c r="C4" s="148">
        <v>0</v>
      </c>
      <c r="D4" s="159">
        <v>15</v>
      </c>
      <c r="E4" s="149">
        <f>C4+D4</f>
        <v>15</v>
      </c>
      <c r="F4" s="148">
        <v>0</v>
      </c>
      <c r="G4" s="159">
        <v>1170</v>
      </c>
      <c r="H4" s="12">
        <f>F4+G4</f>
        <v>1170</v>
      </c>
      <c r="I4" s="132">
        <f>IF(F4&lt;&gt;0,C4*1000000/F4,0)</f>
        <v>0</v>
      </c>
      <c r="J4" s="132">
        <f>IF(G4&lt;&gt;0,D4*1000000/G4,0)</f>
        <v>12820.51282051282</v>
      </c>
      <c r="K4" s="133">
        <f>IF(H4&lt;&gt;0,E4*1000000/H4,0)</f>
        <v>12820.51282051282</v>
      </c>
      <c r="L4" s="1"/>
      <c r="M4" s="136" t="s">
        <v>14</v>
      </c>
      <c r="N4" s="137" t="s">
        <v>15</v>
      </c>
      <c r="O4" s="138" t="s">
        <v>38</v>
      </c>
      <c r="P4" s="139" t="s">
        <v>39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16" t="s">
        <v>14</v>
      </c>
      <c r="AI4" s="110" t="s">
        <v>15</v>
      </c>
      <c r="AJ4" s="119" t="s">
        <v>38</v>
      </c>
      <c r="AK4" s="120" t="s">
        <v>39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</row>
    <row r="5" spans="1:116" s="20" customFormat="1" ht="15" thickBot="1">
      <c r="A5" s="1"/>
      <c r="B5" s="10">
        <v>2</v>
      </c>
      <c r="C5" s="148">
        <v>0</v>
      </c>
      <c r="D5" s="159">
        <v>0</v>
      </c>
      <c r="E5" s="149">
        <f t="shared" ref="E5:E93" si="0">C5+D5</f>
        <v>0</v>
      </c>
      <c r="F5" s="148">
        <v>0</v>
      </c>
      <c r="G5" s="159">
        <v>0</v>
      </c>
      <c r="H5" s="12">
        <f t="shared" ref="H5:H92" si="1">F5+G5</f>
        <v>0</v>
      </c>
      <c r="I5" s="141">
        <f t="shared" ref="I5:I92" si="2">IF(F5&lt;&gt;0,C5*1000000/F5,0)</f>
        <v>0</v>
      </c>
      <c r="J5" s="141">
        <f t="shared" ref="J5:J92" si="3">IF(G5&lt;&gt;0,D5*1000000/G5,0)</f>
        <v>0</v>
      </c>
      <c r="K5" s="142">
        <f t="shared" ref="K5:K92" si="4">IF(H5&lt;&gt;0,E5*1000000/H5,0)</f>
        <v>0</v>
      </c>
      <c r="L5" s="1"/>
      <c r="M5" s="140">
        <v>16</v>
      </c>
      <c r="N5" s="140">
        <v>36</v>
      </c>
      <c r="O5" s="140">
        <v>960</v>
      </c>
      <c r="P5" s="134">
        <f>(N5/O5)*1000000</f>
        <v>37500</v>
      </c>
      <c r="Q5" s="114" t="str">
        <f>CONCATENATE(N5,"/ ",O5)</f>
        <v>36/ 960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25">
        <v>16</v>
      </c>
      <c r="AI5" s="157">
        <v>36</v>
      </c>
      <c r="AJ5" s="166"/>
      <c r="AK5" s="167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</row>
    <row r="6" spans="1:116" s="20" customFormat="1" ht="15" thickBot="1">
      <c r="A6" s="1"/>
      <c r="B6" s="10">
        <v>3</v>
      </c>
      <c r="C6" s="148">
        <v>0</v>
      </c>
      <c r="D6" s="159">
        <v>0</v>
      </c>
      <c r="E6" s="149">
        <f t="shared" si="0"/>
        <v>0</v>
      </c>
      <c r="F6" s="148">
        <v>0</v>
      </c>
      <c r="G6" s="159">
        <v>0</v>
      </c>
      <c r="H6" s="12">
        <f t="shared" si="1"/>
        <v>0</v>
      </c>
      <c r="I6" s="141">
        <f t="shared" si="2"/>
        <v>0</v>
      </c>
      <c r="J6" s="141">
        <f t="shared" si="3"/>
        <v>0</v>
      </c>
      <c r="K6" s="142">
        <f t="shared" si="4"/>
        <v>0</v>
      </c>
      <c r="L6" s="1"/>
      <c r="M6" s="140">
        <v>7</v>
      </c>
      <c r="N6" s="140">
        <v>21</v>
      </c>
      <c r="O6" s="140">
        <v>660</v>
      </c>
      <c r="P6" s="158">
        <f t="shared" ref="P6:P9" si="5">(N6/O6)*1000000</f>
        <v>31818.181818181816</v>
      </c>
      <c r="Q6" s="114" t="str">
        <f t="shared" ref="Q6:Q9" si="6">CONCATENATE(N6,"/ ",O6)</f>
        <v>21/ 660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57">
        <v>67</v>
      </c>
      <c r="AI6" s="157">
        <v>22</v>
      </c>
      <c r="AJ6" s="166"/>
      <c r="AK6" s="167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</row>
    <row r="7" spans="1:116" s="20" customFormat="1" ht="15" thickBot="1">
      <c r="A7" s="1"/>
      <c r="B7" s="10">
        <v>4</v>
      </c>
      <c r="C7" s="148">
        <v>0</v>
      </c>
      <c r="D7" s="159">
        <v>0</v>
      </c>
      <c r="E7" s="149">
        <f t="shared" si="0"/>
        <v>0</v>
      </c>
      <c r="F7" s="148">
        <v>0</v>
      </c>
      <c r="G7" s="159">
        <v>0</v>
      </c>
      <c r="H7" s="12">
        <f t="shared" si="1"/>
        <v>0</v>
      </c>
      <c r="I7" s="141">
        <f t="shared" si="2"/>
        <v>0</v>
      </c>
      <c r="J7" s="141">
        <f t="shared" si="3"/>
        <v>0</v>
      </c>
      <c r="K7" s="142">
        <f t="shared" si="4"/>
        <v>0</v>
      </c>
      <c r="L7" s="1"/>
      <c r="M7" s="140">
        <v>67</v>
      </c>
      <c r="N7" s="140">
        <v>22</v>
      </c>
      <c r="O7" s="140">
        <v>720</v>
      </c>
      <c r="P7" s="158">
        <f t="shared" si="5"/>
        <v>30555.555555555555</v>
      </c>
      <c r="Q7" s="114" t="str">
        <f t="shared" si="6"/>
        <v>22/ 720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57">
        <v>7</v>
      </c>
      <c r="AI7" s="157">
        <v>21</v>
      </c>
      <c r="AJ7" s="166"/>
      <c r="AK7" s="167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</row>
    <row r="8" spans="1:116" s="20" customFormat="1" ht="15" thickBot="1">
      <c r="A8" s="1"/>
      <c r="B8" s="10">
        <v>5</v>
      </c>
      <c r="C8" s="148">
        <v>0</v>
      </c>
      <c r="D8" s="159">
        <v>0</v>
      </c>
      <c r="E8" s="149">
        <f t="shared" si="0"/>
        <v>0</v>
      </c>
      <c r="F8" s="148">
        <v>0</v>
      </c>
      <c r="G8" s="159">
        <v>780</v>
      </c>
      <c r="H8" s="12">
        <f t="shared" si="1"/>
        <v>780</v>
      </c>
      <c r="I8" s="141">
        <f t="shared" si="2"/>
        <v>0</v>
      </c>
      <c r="J8" s="141">
        <f t="shared" si="3"/>
        <v>0</v>
      </c>
      <c r="K8" s="142">
        <f t="shared" si="4"/>
        <v>0</v>
      </c>
      <c r="L8" s="1"/>
      <c r="M8" s="140">
        <v>54</v>
      </c>
      <c r="N8" s="140">
        <v>20</v>
      </c>
      <c r="O8" s="140">
        <v>848</v>
      </c>
      <c r="P8" s="158">
        <f t="shared" si="5"/>
        <v>23584.905660377361</v>
      </c>
      <c r="Q8" s="114" t="str">
        <f t="shared" si="6"/>
        <v>20/ 848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57">
        <v>54</v>
      </c>
      <c r="AI8" s="157">
        <v>20</v>
      </c>
      <c r="AJ8" s="166"/>
      <c r="AK8" s="167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</row>
    <row r="9" spans="1:116" s="20" customFormat="1" ht="15" thickBot="1">
      <c r="A9" s="1"/>
      <c r="B9" s="10">
        <v>6</v>
      </c>
      <c r="C9" s="148">
        <v>6</v>
      </c>
      <c r="D9" s="159">
        <v>20</v>
      </c>
      <c r="E9" s="149">
        <f t="shared" si="0"/>
        <v>26</v>
      </c>
      <c r="F9" s="148">
        <v>315</v>
      </c>
      <c r="G9" s="159">
        <v>1755</v>
      </c>
      <c r="H9" s="12">
        <f t="shared" si="1"/>
        <v>2070</v>
      </c>
      <c r="I9" s="141">
        <f t="shared" si="2"/>
        <v>19047.619047619046</v>
      </c>
      <c r="J9" s="141">
        <f t="shared" si="3"/>
        <v>11396.011396011396</v>
      </c>
      <c r="K9" s="142">
        <f t="shared" si="4"/>
        <v>12560.386473429951</v>
      </c>
      <c r="L9" s="1"/>
      <c r="M9" s="143">
        <v>6</v>
      </c>
      <c r="N9" s="143">
        <v>6</v>
      </c>
      <c r="O9" s="143">
        <v>315</v>
      </c>
      <c r="P9" s="158">
        <f t="shared" si="5"/>
        <v>19047.61904761905</v>
      </c>
      <c r="Q9" s="114" t="str">
        <f t="shared" si="6"/>
        <v>6/ 315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57">
        <v>6</v>
      </c>
      <c r="AI9" s="157">
        <v>6</v>
      </c>
      <c r="AJ9" s="166"/>
      <c r="AK9" s="167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</row>
    <row r="10" spans="1:116" s="20" customFormat="1" ht="15" thickBot="1">
      <c r="A10" s="1"/>
      <c r="B10" s="10">
        <v>7</v>
      </c>
      <c r="C10" s="148">
        <v>21</v>
      </c>
      <c r="D10" s="159">
        <v>0</v>
      </c>
      <c r="E10" s="149">
        <f t="shared" si="0"/>
        <v>21</v>
      </c>
      <c r="F10" s="148">
        <v>660</v>
      </c>
      <c r="G10" s="159">
        <v>660</v>
      </c>
      <c r="H10" s="12">
        <f t="shared" si="1"/>
        <v>1320</v>
      </c>
      <c r="I10" s="141">
        <f t="shared" si="2"/>
        <v>31818.18181818182</v>
      </c>
      <c r="J10" s="141">
        <f t="shared" si="3"/>
        <v>0</v>
      </c>
      <c r="K10" s="142">
        <f t="shared" si="4"/>
        <v>15909.09090909091</v>
      </c>
      <c r="L10" s="1"/>
      <c r="M10" s="107"/>
      <c r="N10" s="107"/>
      <c r="O10" s="106"/>
      <c r="P10" s="10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09"/>
      <c r="AI10" s="109"/>
      <c r="AJ10" s="114"/>
      <c r="AK10" s="114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</row>
    <row r="11" spans="1:116" s="20" customFormat="1" ht="15" thickBot="1">
      <c r="A11" s="1"/>
      <c r="B11" s="10">
        <v>8</v>
      </c>
      <c r="C11" s="148">
        <v>0</v>
      </c>
      <c r="D11" s="159">
        <v>9</v>
      </c>
      <c r="E11" s="149">
        <f t="shared" si="0"/>
        <v>9</v>
      </c>
      <c r="F11" s="148">
        <v>0</v>
      </c>
      <c r="G11" s="159">
        <v>1320</v>
      </c>
      <c r="H11" s="12">
        <f t="shared" si="1"/>
        <v>1320</v>
      </c>
      <c r="I11" s="141">
        <f t="shared" si="2"/>
        <v>0</v>
      </c>
      <c r="J11" s="141">
        <f t="shared" si="3"/>
        <v>6818.181818181818</v>
      </c>
      <c r="K11" s="142">
        <f t="shared" si="4"/>
        <v>6818.181818181818</v>
      </c>
      <c r="L11" s="1"/>
      <c r="M11" s="211" t="s">
        <v>10</v>
      </c>
      <c r="N11" s="212"/>
      <c r="O11" s="212"/>
      <c r="P11" s="21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211" t="s">
        <v>10</v>
      </c>
      <c r="AI11" s="212"/>
      <c r="AJ11" s="212"/>
      <c r="AK11" s="213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</row>
    <row r="12" spans="1:116" s="20" customFormat="1" ht="15" thickBot="1">
      <c r="A12" s="1"/>
      <c r="B12" s="10">
        <v>9</v>
      </c>
      <c r="C12" s="148">
        <v>0</v>
      </c>
      <c r="D12" s="159">
        <v>0</v>
      </c>
      <c r="E12" s="149">
        <f t="shared" si="0"/>
        <v>0</v>
      </c>
      <c r="F12" s="148">
        <v>0</v>
      </c>
      <c r="G12" s="159">
        <v>0</v>
      </c>
      <c r="H12" s="12">
        <f t="shared" si="1"/>
        <v>0</v>
      </c>
      <c r="I12" s="141">
        <f t="shared" si="2"/>
        <v>0</v>
      </c>
      <c r="J12" s="141">
        <f t="shared" si="3"/>
        <v>0</v>
      </c>
      <c r="K12" s="142">
        <f t="shared" si="4"/>
        <v>0</v>
      </c>
      <c r="L12" s="1"/>
      <c r="M12" s="115" t="s">
        <v>14</v>
      </c>
      <c r="N12" s="113" t="s">
        <v>15</v>
      </c>
      <c r="O12" s="111" t="s">
        <v>38</v>
      </c>
      <c r="P12" s="112" t="s">
        <v>39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16" t="s">
        <v>14</v>
      </c>
      <c r="AI12" s="113" t="s">
        <v>15</v>
      </c>
      <c r="AJ12" s="119" t="s">
        <v>38</v>
      </c>
      <c r="AK12" s="120" t="s">
        <v>39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</row>
    <row r="13" spans="1:116" s="20" customFormat="1" ht="15" thickBot="1">
      <c r="A13" s="1"/>
      <c r="B13" s="10">
        <v>10</v>
      </c>
      <c r="C13" s="148">
        <v>0</v>
      </c>
      <c r="D13" s="159">
        <v>4</v>
      </c>
      <c r="E13" s="149">
        <f t="shared" si="0"/>
        <v>4</v>
      </c>
      <c r="F13" s="148">
        <v>0</v>
      </c>
      <c r="G13" s="159">
        <v>1470</v>
      </c>
      <c r="H13" s="12">
        <f t="shared" si="1"/>
        <v>1470</v>
      </c>
      <c r="I13" s="141">
        <f t="shared" si="2"/>
        <v>0</v>
      </c>
      <c r="J13" s="141">
        <f t="shared" si="3"/>
        <v>2721.0884353741499</v>
      </c>
      <c r="K13" s="142">
        <f t="shared" si="4"/>
        <v>2721.0884353741499</v>
      </c>
      <c r="L13" s="1"/>
      <c r="M13" s="144">
        <v>41</v>
      </c>
      <c r="N13" s="144">
        <v>20</v>
      </c>
      <c r="O13" s="144">
        <v>60</v>
      </c>
      <c r="P13" s="145">
        <f>(N13/O13)*1000000</f>
        <v>333333.33333333331</v>
      </c>
      <c r="Q13" s="114" t="str">
        <f>CONCATENATE(N13,"/ ",O13)</f>
        <v>20/ 60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26">
        <v>69</v>
      </c>
      <c r="AI13" s="157">
        <v>36</v>
      </c>
      <c r="AJ13" s="166"/>
      <c r="AK13" s="167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</row>
    <row r="14" spans="1:116" s="20" customFormat="1" ht="15" thickBot="1">
      <c r="A14" s="1"/>
      <c r="B14" s="10">
        <v>11</v>
      </c>
      <c r="C14" s="148">
        <v>0</v>
      </c>
      <c r="D14" s="159">
        <v>0</v>
      </c>
      <c r="E14" s="149">
        <f t="shared" si="0"/>
        <v>0</v>
      </c>
      <c r="F14" s="148">
        <v>660</v>
      </c>
      <c r="G14" s="159">
        <v>660</v>
      </c>
      <c r="H14" s="12">
        <f t="shared" si="1"/>
        <v>1320</v>
      </c>
      <c r="I14" s="141">
        <f t="shared" si="2"/>
        <v>0</v>
      </c>
      <c r="J14" s="141">
        <f t="shared" si="3"/>
        <v>0</v>
      </c>
      <c r="K14" s="142">
        <f t="shared" si="4"/>
        <v>0</v>
      </c>
      <c r="L14" s="1"/>
      <c r="M14" s="140">
        <v>12</v>
      </c>
      <c r="N14" s="140">
        <v>8</v>
      </c>
      <c r="O14" s="140">
        <v>60</v>
      </c>
      <c r="P14" s="162">
        <f t="shared" ref="P14:P17" si="7">(N14/O14)*1000000</f>
        <v>133333.33333333334</v>
      </c>
      <c r="Q14" s="114" t="str">
        <f t="shared" ref="Q14:Q17" si="8">CONCATENATE(N14,"/ ",O14)</f>
        <v>8/ 60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57">
        <v>23</v>
      </c>
      <c r="AI14" s="157">
        <v>33</v>
      </c>
      <c r="AJ14" s="166"/>
      <c r="AK14" s="167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</row>
    <row r="15" spans="1:116" s="20" customFormat="1" ht="15" thickBot="1">
      <c r="A15" s="1"/>
      <c r="B15" s="10">
        <v>12</v>
      </c>
      <c r="C15" s="148">
        <v>0</v>
      </c>
      <c r="D15" s="159">
        <v>8</v>
      </c>
      <c r="E15" s="149">
        <f t="shared" si="0"/>
        <v>8</v>
      </c>
      <c r="F15" s="148">
        <v>600</v>
      </c>
      <c r="G15" s="159">
        <v>60</v>
      </c>
      <c r="H15" s="12">
        <f t="shared" si="1"/>
        <v>660</v>
      </c>
      <c r="I15" s="141">
        <f t="shared" si="2"/>
        <v>0</v>
      </c>
      <c r="J15" s="141">
        <f t="shared" si="3"/>
        <v>133333.33333333334</v>
      </c>
      <c r="K15" s="142">
        <f t="shared" si="4"/>
        <v>12121.212121212122</v>
      </c>
      <c r="L15" s="1"/>
      <c r="M15" s="140">
        <v>69</v>
      </c>
      <c r="N15" s="140">
        <v>36</v>
      </c>
      <c r="O15" s="140">
        <v>1020</v>
      </c>
      <c r="P15" s="162">
        <f t="shared" si="7"/>
        <v>35294.117647058825</v>
      </c>
      <c r="Q15" s="114" t="str">
        <f t="shared" si="8"/>
        <v>36/ 1020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57">
        <v>41</v>
      </c>
      <c r="AI15" s="157">
        <v>20</v>
      </c>
      <c r="AJ15" s="166"/>
      <c r="AK15" s="167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</row>
    <row r="16" spans="1:116" s="20" customFormat="1" ht="15" thickBot="1">
      <c r="A16" s="1"/>
      <c r="B16" s="10">
        <v>13</v>
      </c>
      <c r="C16" s="148">
        <v>0</v>
      </c>
      <c r="D16" s="159">
        <v>0</v>
      </c>
      <c r="E16" s="149">
        <f t="shared" si="0"/>
        <v>0</v>
      </c>
      <c r="F16" s="148">
        <v>0</v>
      </c>
      <c r="G16" s="159">
        <v>0</v>
      </c>
      <c r="H16" s="12">
        <f t="shared" si="1"/>
        <v>0</v>
      </c>
      <c r="I16" s="141">
        <f t="shared" si="2"/>
        <v>0</v>
      </c>
      <c r="J16" s="141">
        <f t="shared" si="3"/>
        <v>0</v>
      </c>
      <c r="K16" s="142">
        <f t="shared" si="4"/>
        <v>0</v>
      </c>
      <c r="L16" s="1"/>
      <c r="M16" s="140">
        <v>67</v>
      </c>
      <c r="N16" s="140">
        <v>13</v>
      </c>
      <c r="O16" s="140">
        <v>390</v>
      </c>
      <c r="P16" s="162">
        <f t="shared" si="7"/>
        <v>33333.333333333336</v>
      </c>
      <c r="Q16" s="114" t="str">
        <f t="shared" si="8"/>
        <v>13/ 390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57">
        <v>61</v>
      </c>
      <c r="AI16" s="157">
        <v>20</v>
      </c>
      <c r="AJ16" s="166"/>
      <c r="AK16" s="167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</row>
    <row r="17" spans="1:116" s="20" customFormat="1" ht="15" thickBot="1">
      <c r="A17" s="1"/>
      <c r="B17" s="10">
        <v>14</v>
      </c>
      <c r="C17" s="148">
        <v>0</v>
      </c>
      <c r="D17" s="159">
        <v>5</v>
      </c>
      <c r="E17" s="149">
        <f t="shared" si="0"/>
        <v>5</v>
      </c>
      <c r="F17" s="148">
        <v>1324</v>
      </c>
      <c r="G17" s="159">
        <v>1324</v>
      </c>
      <c r="H17" s="12">
        <f t="shared" si="1"/>
        <v>2648</v>
      </c>
      <c r="I17" s="141">
        <f t="shared" si="2"/>
        <v>0</v>
      </c>
      <c r="J17" s="141">
        <f t="shared" si="3"/>
        <v>3776.4350453172206</v>
      </c>
      <c r="K17" s="142">
        <f t="shared" si="4"/>
        <v>1888.2175226586103</v>
      </c>
      <c r="L17" s="1"/>
      <c r="M17" s="143">
        <v>23</v>
      </c>
      <c r="N17" s="143">
        <v>33</v>
      </c>
      <c r="O17" s="143">
        <v>1335</v>
      </c>
      <c r="P17" s="162">
        <f t="shared" si="7"/>
        <v>24719.101123595505</v>
      </c>
      <c r="Q17" s="114" t="str">
        <f t="shared" si="8"/>
        <v>33/ 1335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57">
        <v>62</v>
      </c>
      <c r="AI17" s="157">
        <v>20</v>
      </c>
      <c r="AJ17" s="164"/>
      <c r="AK17" s="165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</row>
    <row r="18" spans="1:116" s="20" customFormat="1" ht="15" thickBot="1">
      <c r="A18" s="1"/>
      <c r="B18" s="10">
        <v>15</v>
      </c>
      <c r="C18" s="148">
        <v>0</v>
      </c>
      <c r="D18" s="159">
        <v>0</v>
      </c>
      <c r="E18" s="149">
        <f t="shared" si="0"/>
        <v>0</v>
      </c>
      <c r="F18" s="148">
        <v>0</v>
      </c>
      <c r="G18" s="159">
        <v>0</v>
      </c>
      <c r="H18" s="12">
        <f t="shared" si="1"/>
        <v>0</v>
      </c>
      <c r="I18" s="141">
        <f t="shared" si="2"/>
        <v>0</v>
      </c>
      <c r="J18" s="141">
        <f t="shared" si="3"/>
        <v>0</v>
      </c>
      <c r="K18" s="142">
        <f t="shared" si="4"/>
        <v>0</v>
      </c>
      <c r="L18" s="1"/>
      <c r="M18" s="107"/>
      <c r="N18" s="107"/>
      <c r="O18" s="106"/>
      <c r="P18" s="10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09"/>
      <c r="AI18" s="109"/>
      <c r="AJ18" s="114"/>
      <c r="AK18" s="114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</row>
    <row r="19" spans="1:116" s="20" customFormat="1" ht="15" thickBot="1">
      <c r="A19" s="1"/>
      <c r="B19" s="10">
        <v>16</v>
      </c>
      <c r="C19" s="148">
        <v>36</v>
      </c>
      <c r="D19" s="159">
        <v>4</v>
      </c>
      <c r="E19" s="149">
        <f t="shared" si="0"/>
        <v>40</v>
      </c>
      <c r="F19" s="148">
        <v>960</v>
      </c>
      <c r="G19" s="159">
        <v>960</v>
      </c>
      <c r="H19" s="12">
        <f t="shared" si="1"/>
        <v>1920</v>
      </c>
      <c r="I19" s="141">
        <f t="shared" si="2"/>
        <v>37500</v>
      </c>
      <c r="J19" s="141">
        <f t="shared" si="3"/>
        <v>4166.666666666667</v>
      </c>
      <c r="K19" s="142">
        <f t="shared" si="4"/>
        <v>20833.333333333332</v>
      </c>
      <c r="L19" s="1"/>
      <c r="M19" s="208" t="s">
        <v>16</v>
      </c>
      <c r="N19" s="209"/>
      <c r="O19" s="209"/>
      <c r="P19" s="21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208" t="s">
        <v>16</v>
      </c>
      <c r="AI19" s="209"/>
      <c r="AJ19" s="209"/>
      <c r="AK19" s="210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</row>
    <row r="20" spans="1:116" s="20" customFormat="1" ht="15" thickBot="1">
      <c r="A20" s="1"/>
      <c r="B20" s="10">
        <v>17</v>
      </c>
      <c r="C20" s="148">
        <v>0</v>
      </c>
      <c r="D20" s="159">
        <v>0</v>
      </c>
      <c r="E20" s="149">
        <f t="shared" si="0"/>
        <v>0</v>
      </c>
      <c r="F20" s="148">
        <v>0</v>
      </c>
      <c r="G20" s="159">
        <v>0</v>
      </c>
      <c r="H20" s="12">
        <f t="shared" si="1"/>
        <v>0</v>
      </c>
      <c r="I20" s="141">
        <f t="shared" si="2"/>
        <v>0</v>
      </c>
      <c r="J20" s="141">
        <f t="shared" si="3"/>
        <v>0</v>
      </c>
      <c r="K20" s="142">
        <f t="shared" si="4"/>
        <v>0</v>
      </c>
      <c r="L20" s="1"/>
      <c r="M20" s="118" t="s">
        <v>14</v>
      </c>
      <c r="N20" s="117" t="s">
        <v>15</v>
      </c>
      <c r="O20" s="119" t="s">
        <v>38</v>
      </c>
      <c r="P20" s="120" t="s">
        <v>39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18" t="s">
        <v>14</v>
      </c>
      <c r="AI20" s="117" t="s">
        <v>15</v>
      </c>
      <c r="AJ20" s="119" t="s">
        <v>38</v>
      </c>
      <c r="AK20" s="120" t="s">
        <v>39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</row>
    <row r="21" spans="1:116" s="20" customFormat="1" ht="15" thickBot="1">
      <c r="A21" s="1"/>
      <c r="B21" s="10">
        <v>18</v>
      </c>
      <c r="C21" s="148">
        <v>0</v>
      </c>
      <c r="D21" s="159">
        <v>20</v>
      </c>
      <c r="E21" s="149">
        <f t="shared" si="0"/>
        <v>20</v>
      </c>
      <c r="F21" s="148">
        <v>1395</v>
      </c>
      <c r="G21" s="159">
        <v>1395</v>
      </c>
      <c r="H21" s="12">
        <f t="shared" si="1"/>
        <v>2790</v>
      </c>
      <c r="I21" s="141">
        <f t="shared" si="2"/>
        <v>0</v>
      </c>
      <c r="J21" s="141">
        <f t="shared" si="3"/>
        <v>14336.917562724015</v>
      </c>
      <c r="K21" s="142">
        <f t="shared" si="4"/>
        <v>7168.4587813620074</v>
      </c>
      <c r="L21" s="1"/>
      <c r="M21" s="161">
        <v>6</v>
      </c>
      <c r="N21" s="161">
        <v>26</v>
      </c>
      <c r="O21" s="161">
        <v>2070</v>
      </c>
      <c r="P21" s="162">
        <f>(N21/O21)*1000000</f>
        <v>12560.386473429951</v>
      </c>
      <c r="Q21" s="114" t="str">
        <f>CONCATENATE(N21,"/ ",O21)</f>
        <v>26/ 2070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27">
        <v>16</v>
      </c>
      <c r="AI21" s="157">
        <v>40</v>
      </c>
      <c r="AJ21" s="166"/>
      <c r="AK21" s="167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</row>
    <row r="22" spans="1:116" s="20" customFormat="1" ht="15" thickBot="1">
      <c r="A22" s="1"/>
      <c r="B22" s="10">
        <v>19</v>
      </c>
      <c r="C22" s="148">
        <v>0</v>
      </c>
      <c r="D22" s="159">
        <v>0</v>
      </c>
      <c r="E22" s="149">
        <f t="shared" si="0"/>
        <v>0</v>
      </c>
      <c r="F22" s="148">
        <v>2090</v>
      </c>
      <c r="G22" s="159">
        <v>210</v>
      </c>
      <c r="H22" s="12">
        <f t="shared" si="1"/>
        <v>2300</v>
      </c>
      <c r="I22" s="141">
        <f t="shared" si="2"/>
        <v>0</v>
      </c>
      <c r="J22" s="141">
        <f t="shared" si="3"/>
        <v>0</v>
      </c>
      <c r="K22" s="142">
        <f t="shared" si="4"/>
        <v>0</v>
      </c>
      <c r="L22" s="1"/>
      <c r="M22" s="157">
        <v>41</v>
      </c>
      <c r="N22" s="157">
        <v>20</v>
      </c>
      <c r="O22" s="157">
        <v>408</v>
      </c>
      <c r="P22" s="162">
        <f t="shared" ref="P22:P25" si="9">(N22/O22)*1000000</f>
        <v>49019.607843137252</v>
      </c>
      <c r="Q22" s="114" t="str">
        <f t="shared" ref="Q22:Q25" si="10">CONCATENATE(N22,"/ ",O22)</f>
        <v>20/ 408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57">
        <v>23</v>
      </c>
      <c r="AI22" s="157">
        <v>38</v>
      </c>
      <c r="AJ22" s="166"/>
      <c r="AK22" s="167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</row>
    <row r="23" spans="1:116" s="20" customFormat="1" ht="15" thickBot="1">
      <c r="A23" s="1"/>
      <c r="B23" s="10">
        <v>20</v>
      </c>
      <c r="C23" s="148">
        <v>0</v>
      </c>
      <c r="D23" s="159">
        <v>0</v>
      </c>
      <c r="E23" s="149">
        <f t="shared" si="0"/>
        <v>0</v>
      </c>
      <c r="F23" s="148">
        <v>0</v>
      </c>
      <c r="G23" s="159">
        <v>0</v>
      </c>
      <c r="H23" s="12">
        <f t="shared" si="1"/>
        <v>0</v>
      </c>
      <c r="I23" s="141">
        <f t="shared" si="2"/>
        <v>0</v>
      </c>
      <c r="J23" s="141">
        <f t="shared" si="3"/>
        <v>0</v>
      </c>
      <c r="K23" s="142">
        <f t="shared" si="4"/>
        <v>0</v>
      </c>
      <c r="L23" s="1"/>
      <c r="M23" s="157">
        <v>67</v>
      </c>
      <c r="N23" s="157">
        <v>35</v>
      </c>
      <c r="O23" s="157">
        <v>1110</v>
      </c>
      <c r="P23" s="162">
        <f t="shared" si="9"/>
        <v>31531.531531531527</v>
      </c>
      <c r="Q23" s="114" t="str">
        <f t="shared" si="10"/>
        <v>35/ 1110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57">
        <v>69</v>
      </c>
      <c r="AI23" s="157">
        <v>36</v>
      </c>
      <c r="AJ23" s="166"/>
      <c r="AK23" s="167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</row>
    <row r="24" spans="1:116" s="20" customFormat="1" ht="15" thickBot="1">
      <c r="A24" s="1"/>
      <c r="B24" s="10">
        <v>21</v>
      </c>
      <c r="C24" s="148">
        <v>0</v>
      </c>
      <c r="D24" s="159">
        <v>0</v>
      </c>
      <c r="E24" s="149">
        <f t="shared" si="0"/>
        <v>0</v>
      </c>
      <c r="F24" s="148">
        <v>0</v>
      </c>
      <c r="G24" s="159">
        <v>0</v>
      </c>
      <c r="H24" s="12">
        <f t="shared" si="1"/>
        <v>0</v>
      </c>
      <c r="I24" s="141">
        <f t="shared" si="2"/>
        <v>0</v>
      </c>
      <c r="J24" s="141">
        <f t="shared" si="3"/>
        <v>0</v>
      </c>
      <c r="K24" s="142">
        <f t="shared" si="4"/>
        <v>0</v>
      </c>
      <c r="L24" s="1"/>
      <c r="M24" s="157">
        <v>16</v>
      </c>
      <c r="N24" s="157">
        <v>40</v>
      </c>
      <c r="O24" s="157">
        <v>1920</v>
      </c>
      <c r="P24" s="162">
        <f t="shared" si="9"/>
        <v>20833.333333333332</v>
      </c>
      <c r="Q24" s="114" t="str">
        <f t="shared" si="10"/>
        <v>40/ 1920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57">
        <v>67</v>
      </c>
      <c r="AI24" s="157">
        <v>35</v>
      </c>
      <c r="AJ24" s="166"/>
      <c r="AK24" s="167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</row>
    <row r="25" spans="1:116" s="20" customFormat="1" ht="15" thickBot="1">
      <c r="A25" s="1"/>
      <c r="B25" s="10">
        <v>22</v>
      </c>
      <c r="C25" s="148">
        <v>0</v>
      </c>
      <c r="D25" s="159">
        <v>0</v>
      </c>
      <c r="E25" s="149">
        <f t="shared" si="0"/>
        <v>0</v>
      </c>
      <c r="F25" s="148">
        <v>0</v>
      </c>
      <c r="G25" s="159">
        <v>0</v>
      </c>
      <c r="H25" s="12">
        <f t="shared" si="1"/>
        <v>0</v>
      </c>
      <c r="I25" s="141">
        <f t="shared" si="2"/>
        <v>0</v>
      </c>
      <c r="J25" s="141">
        <f t="shared" si="3"/>
        <v>0</v>
      </c>
      <c r="K25" s="142">
        <f t="shared" si="4"/>
        <v>0</v>
      </c>
      <c r="L25" s="1"/>
      <c r="M25" s="160">
        <v>23</v>
      </c>
      <c r="N25" s="160">
        <v>38</v>
      </c>
      <c r="O25" s="160">
        <v>2670</v>
      </c>
      <c r="P25" s="162">
        <f t="shared" si="9"/>
        <v>14232.209737827714</v>
      </c>
      <c r="Q25" s="114" t="str">
        <f t="shared" si="10"/>
        <v>38/ 2670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57">
        <v>6</v>
      </c>
      <c r="AI25" s="157">
        <v>26</v>
      </c>
      <c r="AJ25" s="166"/>
      <c r="AK25" s="167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</row>
    <row r="26" spans="1:116" s="20" customFormat="1" ht="15" thickBot="1">
      <c r="A26" s="1"/>
      <c r="B26" s="10">
        <v>23</v>
      </c>
      <c r="C26" s="148">
        <v>5</v>
      </c>
      <c r="D26" s="159">
        <v>33</v>
      </c>
      <c r="E26" s="149">
        <f t="shared" si="0"/>
        <v>38</v>
      </c>
      <c r="F26" s="148">
        <v>1335</v>
      </c>
      <c r="G26" s="159">
        <v>1335</v>
      </c>
      <c r="H26" s="12">
        <f t="shared" si="1"/>
        <v>2670</v>
      </c>
      <c r="I26" s="141">
        <f t="shared" si="2"/>
        <v>3745.318352059925</v>
      </c>
      <c r="J26" s="141">
        <f t="shared" si="3"/>
        <v>24719.101123595505</v>
      </c>
      <c r="K26" s="142">
        <f t="shared" si="4"/>
        <v>14232.209737827716</v>
      </c>
      <c r="L26" s="1"/>
      <c r="M26" s="32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</row>
    <row r="27" spans="1:116" s="20" customFormat="1" ht="15" thickBot="1">
      <c r="A27" s="1"/>
      <c r="B27" s="10">
        <v>24</v>
      </c>
      <c r="C27" s="148">
        <v>0</v>
      </c>
      <c r="D27" s="159">
        <v>0</v>
      </c>
      <c r="E27" s="149">
        <f t="shared" si="0"/>
        <v>0</v>
      </c>
      <c r="F27" s="148">
        <v>0</v>
      </c>
      <c r="G27" s="159">
        <v>0</v>
      </c>
      <c r="H27" s="12">
        <f t="shared" si="1"/>
        <v>0</v>
      </c>
      <c r="I27" s="141">
        <f t="shared" si="2"/>
        <v>0</v>
      </c>
      <c r="J27" s="141">
        <f t="shared" si="3"/>
        <v>0</v>
      </c>
      <c r="K27" s="142">
        <f t="shared" si="4"/>
        <v>0</v>
      </c>
      <c r="L27" s="1"/>
      <c r="M27" s="32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</row>
    <row r="28" spans="1:116" s="109" customFormat="1" ht="15" thickBot="1">
      <c r="A28" s="163"/>
      <c r="B28" s="10">
        <v>25</v>
      </c>
      <c r="C28" s="148">
        <v>0</v>
      </c>
      <c r="D28" s="159">
        <v>0</v>
      </c>
      <c r="E28" s="149">
        <f t="shared" si="0"/>
        <v>0</v>
      </c>
      <c r="F28" s="148">
        <v>0</v>
      </c>
      <c r="G28" s="159">
        <v>0</v>
      </c>
      <c r="H28" s="148"/>
      <c r="I28" s="141"/>
      <c r="J28" s="141"/>
      <c r="K28" s="142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</row>
    <row r="29" spans="1:116" s="109" customFormat="1" ht="15" thickBot="1">
      <c r="A29" s="163"/>
      <c r="B29" s="10">
        <v>26</v>
      </c>
      <c r="C29" s="148">
        <v>0</v>
      </c>
      <c r="D29" s="159">
        <v>0</v>
      </c>
      <c r="E29" s="149">
        <f t="shared" si="0"/>
        <v>0</v>
      </c>
      <c r="F29" s="148">
        <v>0</v>
      </c>
      <c r="G29" s="159">
        <v>0</v>
      </c>
      <c r="H29" s="148"/>
      <c r="I29" s="141"/>
      <c r="J29" s="141"/>
      <c r="K29" s="142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</row>
    <row r="30" spans="1:116" s="109" customFormat="1" ht="15" thickBot="1">
      <c r="A30" s="163"/>
      <c r="B30" s="10">
        <v>27</v>
      </c>
      <c r="C30" s="148">
        <v>0</v>
      </c>
      <c r="D30" s="159">
        <v>0</v>
      </c>
      <c r="E30" s="149">
        <f t="shared" si="0"/>
        <v>0</v>
      </c>
      <c r="F30" s="148">
        <v>0</v>
      </c>
      <c r="G30" s="159">
        <v>0</v>
      </c>
      <c r="H30" s="148"/>
      <c r="I30" s="141"/>
      <c r="J30" s="141"/>
      <c r="K30" s="142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</row>
    <row r="31" spans="1:116" s="109" customFormat="1" ht="15" thickBot="1">
      <c r="A31" s="163"/>
      <c r="B31" s="10">
        <v>28</v>
      </c>
      <c r="C31" s="148">
        <v>0</v>
      </c>
      <c r="D31" s="159">
        <v>0</v>
      </c>
      <c r="E31" s="149">
        <f t="shared" si="0"/>
        <v>0</v>
      </c>
      <c r="F31" s="148">
        <v>0</v>
      </c>
      <c r="G31" s="159">
        <v>0</v>
      </c>
      <c r="H31" s="148"/>
      <c r="I31" s="141"/>
      <c r="J31" s="141"/>
      <c r="K31" s="142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3"/>
      <c r="BU31" s="163"/>
      <c r="BV31" s="163"/>
      <c r="BW31" s="163"/>
      <c r="BX31" s="163"/>
      <c r="BY31" s="163"/>
      <c r="BZ31" s="163"/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63"/>
      <c r="CN31" s="163"/>
      <c r="CO31" s="163"/>
      <c r="CP31" s="163"/>
      <c r="CQ31" s="163"/>
      <c r="CR31" s="163"/>
      <c r="CS31" s="163"/>
      <c r="CT31" s="163"/>
      <c r="CU31" s="163"/>
      <c r="CV31" s="163"/>
      <c r="CW31" s="163"/>
      <c r="CX31" s="163"/>
      <c r="CY31" s="163"/>
      <c r="CZ31" s="163"/>
      <c r="DA31" s="163"/>
      <c r="DB31" s="163"/>
      <c r="DC31" s="163"/>
      <c r="DD31" s="163"/>
      <c r="DE31" s="163"/>
      <c r="DF31" s="163"/>
      <c r="DG31" s="163"/>
      <c r="DH31" s="163"/>
      <c r="DI31" s="163"/>
      <c r="DJ31" s="163"/>
      <c r="DK31" s="163"/>
      <c r="DL31" s="163"/>
    </row>
    <row r="32" spans="1:116" s="109" customFormat="1" ht="15" thickBot="1">
      <c r="A32" s="163"/>
      <c r="B32" s="10">
        <v>29</v>
      </c>
      <c r="C32" s="148">
        <v>0</v>
      </c>
      <c r="D32" s="159">
        <v>0</v>
      </c>
      <c r="E32" s="149">
        <f t="shared" si="0"/>
        <v>0</v>
      </c>
      <c r="F32" s="148">
        <v>0</v>
      </c>
      <c r="G32" s="159">
        <v>0</v>
      </c>
      <c r="H32" s="148"/>
      <c r="I32" s="141"/>
      <c r="J32" s="141"/>
      <c r="K32" s="142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63"/>
      <c r="CN32" s="163"/>
      <c r="CO32" s="163"/>
      <c r="CP32" s="163"/>
      <c r="CQ32" s="163"/>
      <c r="CR32" s="163"/>
      <c r="CS32" s="163"/>
      <c r="CT32" s="163"/>
      <c r="CU32" s="163"/>
      <c r="CV32" s="163"/>
      <c r="CW32" s="163"/>
      <c r="CX32" s="163"/>
      <c r="CY32" s="163"/>
      <c r="CZ32" s="163"/>
      <c r="DA32" s="163"/>
      <c r="DB32" s="163"/>
      <c r="DC32" s="163"/>
      <c r="DD32" s="163"/>
      <c r="DE32" s="163"/>
      <c r="DF32" s="163"/>
      <c r="DG32" s="163"/>
      <c r="DH32" s="163"/>
      <c r="DI32" s="163"/>
      <c r="DJ32" s="163"/>
      <c r="DK32" s="163"/>
      <c r="DL32" s="163"/>
    </row>
    <row r="33" spans="1:116" s="109" customFormat="1" ht="15" thickBot="1">
      <c r="A33" s="163"/>
      <c r="B33" s="10">
        <v>30</v>
      </c>
      <c r="C33" s="148">
        <v>0</v>
      </c>
      <c r="D33" s="159">
        <v>0</v>
      </c>
      <c r="E33" s="149">
        <f t="shared" si="0"/>
        <v>0</v>
      </c>
      <c r="F33" s="148">
        <v>0</v>
      </c>
      <c r="G33" s="159">
        <v>0</v>
      </c>
      <c r="H33" s="148"/>
      <c r="I33" s="141"/>
      <c r="J33" s="141"/>
      <c r="K33" s="142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3"/>
      <c r="CL33" s="163"/>
      <c r="CM33" s="163"/>
      <c r="CN33" s="163"/>
      <c r="CO33" s="163"/>
      <c r="CP33" s="163"/>
      <c r="CQ33" s="163"/>
      <c r="CR33" s="163"/>
      <c r="CS33" s="163"/>
      <c r="CT33" s="163"/>
      <c r="CU33" s="163"/>
      <c r="CV33" s="163"/>
      <c r="CW33" s="163"/>
      <c r="CX33" s="163"/>
      <c r="CY33" s="163"/>
      <c r="CZ33" s="163"/>
      <c r="DA33" s="163"/>
      <c r="DB33" s="163"/>
      <c r="DC33" s="163"/>
      <c r="DD33" s="163"/>
      <c r="DE33" s="163"/>
      <c r="DF33" s="163"/>
      <c r="DG33" s="163"/>
      <c r="DH33" s="163"/>
      <c r="DI33" s="163"/>
      <c r="DJ33" s="163"/>
      <c r="DK33" s="163"/>
      <c r="DL33" s="163"/>
    </row>
    <row r="34" spans="1:116" s="109" customFormat="1" ht="15" thickBot="1">
      <c r="A34" s="163"/>
      <c r="B34" s="10">
        <v>31</v>
      </c>
      <c r="C34" s="148">
        <v>0</v>
      </c>
      <c r="D34" s="159">
        <v>0</v>
      </c>
      <c r="E34" s="149">
        <f t="shared" si="0"/>
        <v>0</v>
      </c>
      <c r="F34" s="148">
        <v>0</v>
      </c>
      <c r="G34" s="159">
        <v>0</v>
      </c>
      <c r="H34" s="148"/>
      <c r="I34" s="141"/>
      <c r="J34" s="141"/>
      <c r="K34" s="142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3"/>
      <c r="CR34" s="163"/>
      <c r="CS34" s="163"/>
      <c r="CT34" s="163"/>
      <c r="CU34" s="163"/>
      <c r="CV34" s="163"/>
      <c r="CW34" s="163"/>
      <c r="CX34" s="163"/>
      <c r="CY34" s="163"/>
      <c r="CZ34" s="163"/>
      <c r="DA34" s="163"/>
      <c r="DB34" s="163"/>
      <c r="DC34" s="163"/>
      <c r="DD34" s="163"/>
      <c r="DE34" s="163"/>
      <c r="DF34" s="163"/>
      <c r="DG34" s="163"/>
      <c r="DH34" s="163"/>
      <c r="DI34" s="163"/>
      <c r="DJ34" s="163"/>
      <c r="DK34" s="163"/>
      <c r="DL34" s="163"/>
    </row>
    <row r="35" spans="1:116" s="109" customFormat="1" ht="15" thickBot="1">
      <c r="A35" s="163"/>
      <c r="B35" s="10">
        <v>32</v>
      </c>
      <c r="C35" s="148">
        <v>0</v>
      </c>
      <c r="D35" s="159">
        <v>0</v>
      </c>
      <c r="E35" s="149">
        <f t="shared" si="0"/>
        <v>0</v>
      </c>
      <c r="F35" s="148">
        <v>0</v>
      </c>
      <c r="G35" s="159">
        <v>0</v>
      </c>
      <c r="H35" s="148"/>
      <c r="I35" s="141"/>
      <c r="J35" s="141"/>
      <c r="K35" s="142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3"/>
      <c r="CZ35" s="163"/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</row>
    <row r="36" spans="1:116" s="109" customFormat="1" ht="15" thickBot="1">
      <c r="A36" s="163"/>
      <c r="B36" s="10">
        <v>33</v>
      </c>
      <c r="C36" s="148">
        <v>0</v>
      </c>
      <c r="D36" s="159">
        <v>0</v>
      </c>
      <c r="E36" s="149">
        <f t="shared" si="0"/>
        <v>0</v>
      </c>
      <c r="F36" s="148">
        <v>0</v>
      </c>
      <c r="G36" s="159">
        <v>0</v>
      </c>
      <c r="H36" s="148"/>
      <c r="I36" s="141"/>
      <c r="J36" s="141"/>
      <c r="K36" s="142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3"/>
      <c r="CZ36" s="163"/>
      <c r="DA36" s="163"/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</row>
    <row r="37" spans="1:116" s="109" customFormat="1" ht="15" thickBot="1">
      <c r="A37" s="163"/>
      <c r="B37" s="10">
        <v>34</v>
      </c>
      <c r="C37" s="148">
        <v>0</v>
      </c>
      <c r="D37" s="159">
        <v>12</v>
      </c>
      <c r="E37" s="149">
        <f t="shared" si="0"/>
        <v>12</v>
      </c>
      <c r="F37" s="148">
        <v>600</v>
      </c>
      <c r="G37" s="159">
        <v>1146</v>
      </c>
      <c r="H37" s="148"/>
      <c r="I37" s="141"/>
      <c r="J37" s="141"/>
      <c r="K37" s="142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163"/>
      <c r="DB37" s="163"/>
      <c r="DC37" s="163"/>
      <c r="DD37" s="163"/>
      <c r="DE37" s="163"/>
      <c r="DF37" s="163"/>
      <c r="DG37" s="163"/>
      <c r="DH37" s="163"/>
      <c r="DI37" s="163"/>
      <c r="DJ37" s="163"/>
      <c r="DK37" s="163"/>
      <c r="DL37" s="163"/>
    </row>
    <row r="38" spans="1:116" s="109" customFormat="1" ht="15" thickBot="1">
      <c r="A38" s="163"/>
      <c r="B38" s="10">
        <v>35</v>
      </c>
      <c r="C38" s="148">
        <v>0</v>
      </c>
      <c r="D38" s="159">
        <v>0</v>
      </c>
      <c r="E38" s="149">
        <f t="shared" si="0"/>
        <v>0</v>
      </c>
      <c r="F38" s="148">
        <v>0</v>
      </c>
      <c r="G38" s="159">
        <v>0</v>
      </c>
      <c r="H38" s="148"/>
      <c r="I38" s="141"/>
      <c r="J38" s="141"/>
      <c r="K38" s="142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3"/>
      <c r="CA38" s="163"/>
      <c r="CB38" s="163"/>
      <c r="CC38" s="163"/>
      <c r="CD38" s="163"/>
      <c r="CE38" s="163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163"/>
      <c r="DB38" s="163"/>
      <c r="DC38" s="163"/>
      <c r="DD38" s="163"/>
      <c r="DE38" s="163"/>
      <c r="DF38" s="163"/>
      <c r="DG38" s="163"/>
      <c r="DH38" s="163"/>
      <c r="DI38" s="163"/>
      <c r="DJ38" s="163"/>
      <c r="DK38" s="163"/>
      <c r="DL38" s="163"/>
    </row>
    <row r="39" spans="1:116" s="109" customFormat="1" ht="15" thickBot="1">
      <c r="A39" s="163"/>
      <c r="B39" s="10">
        <v>36</v>
      </c>
      <c r="C39" s="148">
        <v>0</v>
      </c>
      <c r="D39" s="159">
        <v>0</v>
      </c>
      <c r="E39" s="149">
        <f t="shared" si="0"/>
        <v>0</v>
      </c>
      <c r="F39" s="148">
        <v>0</v>
      </c>
      <c r="G39" s="159">
        <v>0</v>
      </c>
      <c r="H39" s="148"/>
      <c r="I39" s="141"/>
      <c r="J39" s="141"/>
      <c r="K39" s="142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163"/>
      <c r="CA39" s="163"/>
      <c r="CB39" s="163"/>
      <c r="CC39" s="163"/>
      <c r="CD39" s="163"/>
      <c r="CE39" s="163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163"/>
      <c r="DB39" s="163"/>
      <c r="DC39" s="163"/>
      <c r="DD39" s="163"/>
      <c r="DE39" s="163"/>
      <c r="DF39" s="163"/>
      <c r="DG39" s="163"/>
      <c r="DH39" s="163"/>
      <c r="DI39" s="163"/>
      <c r="DJ39" s="163"/>
      <c r="DK39" s="163"/>
      <c r="DL39" s="163"/>
    </row>
    <row r="40" spans="1:116" s="109" customFormat="1" ht="15" thickBot="1">
      <c r="A40" s="163"/>
      <c r="B40" s="10">
        <v>37</v>
      </c>
      <c r="C40" s="148">
        <v>0</v>
      </c>
      <c r="D40" s="159">
        <v>0</v>
      </c>
      <c r="E40" s="149">
        <f t="shared" si="0"/>
        <v>0</v>
      </c>
      <c r="F40" s="148">
        <v>1410</v>
      </c>
      <c r="G40" s="159">
        <v>310</v>
      </c>
      <c r="H40" s="148"/>
      <c r="I40" s="141"/>
      <c r="J40" s="141"/>
      <c r="K40" s="142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163"/>
      <c r="DB40" s="163"/>
      <c r="DC40" s="163"/>
      <c r="DD40" s="163"/>
      <c r="DE40" s="163"/>
      <c r="DF40" s="163"/>
      <c r="DG40" s="163"/>
      <c r="DH40" s="163"/>
      <c r="DI40" s="163"/>
      <c r="DJ40" s="163"/>
      <c r="DK40" s="163"/>
      <c r="DL40" s="163"/>
    </row>
    <row r="41" spans="1:116" s="109" customFormat="1" ht="15" thickBot="1">
      <c r="A41" s="163"/>
      <c r="B41" s="10">
        <v>38</v>
      </c>
      <c r="C41" s="148">
        <v>0</v>
      </c>
      <c r="D41" s="159">
        <v>0</v>
      </c>
      <c r="E41" s="149">
        <f t="shared" si="0"/>
        <v>0</v>
      </c>
      <c r="F41" s="148">
        <v>0</v>
      </c>
      <c r="G41" s="159">
        <v>0</v>
      </c>
      <c r="H41" s="148"/>
      <c r="I41" s="141"/>
      <c r="J41" s="141"/>
      <c r="K41" s="142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63"/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3"/>
      <c r="CZ41" s="163"/>
      <c r="DA41" s="163"/>
      <c r="DB41" s="163"/>
      <c r="DC41" s="163"/>
      <c r="DD41" s="163"/>
      <c r="DE41" s="163"/>
      <c r="DF41" s="163"/>
      <c r="DG41" s="163"/>
      <c r="DH41" s="163"/>
      <c r="DI41" s="163"/>
      <c r="DJ41" s="163"/>
      <c r="DK41" s="163"/>
      <c r="DL41" s="163"/>
    </row>
    <row r="42" spans="1:116" s="109" customFormat="1" ht="15" thickBot="1">
      <c r="A42" s="163"/>
      <c r="B42" s="10">
        <v>39</v>
      </c>
      <c r="C42" s="148">
        <v>0</v>
      </c>
      <c r="D42" s="159">
        <v>0</v>
      </c>
      <c r="E42" s="149">
        <f t="shared" si="0"/>
        <v>0</v>
      </c>
      <c r="F42" s="148">
        <v>0</v>
      </c>
      <c r="G42" s="159">
        <v>180</v>
      </c>
      <c r="H42" s="148"/>
      <c r="I42" s="141"/>
      <c r="J42" s="141"/>
      <c r="K42" s="14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3"/>
      <c r="CZ42" s="163"/>
      <c r="DA42" s="163"/>
      <c r="DB42" s="163"/>
      <c r="DC42" s="163"/>
      <c r="DD42" s="163"/>
      <c r="DE42" s="163"/>
      <c r="DF42" s="163"/>
      <c r="DG42" s="163"/>
      <c r="DH42" s="163"/>
      <c r="DI42" s="163"/>
      <c r="DJ42" s="163"/>
      <c r="DK42" s="163"/>
      <c r="DL42" s="163"/>
    </row>
    <row r="43" spans="1:116" s="109" customFormat="1" ht="15" thickBot="1">
      <c r="A43" s="163"/>
      <c r="B43" s="10">
        <v>40</v>
      </c>
      <c r="C43" s="148">
        <v>0</v>
      </c>
      <c r="D43" s="159">
        <v>0</v>
      </c>
      <c r="E43" s="149">
        <f t="shared" si="0"/>
        <v>0</v>
      </c>
      <c r="F43" s="148">
        <v>0</v>
      </c>
      <c r="G43" s="159">
        <v>0</v>
      </c>
      <c r="H43" s="148"/>
      <c r="I43" s="141"/>
      <c r="J43" s="141"/>
      <c r="K43" s="14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</row>
    <row r="44" spans="1:116" s="109" customFormat="1" ht="15" thickBot="1">
      <c r="A44" s="163"/>
      <c r="B44" s="10">
        <v>41</v>
      </c>
      <c r="C44" s="148">
        <v>0</v>
      </c>
      <c r="D44" s="159">
        <v>20</v>
      </c>
      <c r="E44" s="149">
        <f t="shared" si="0"/>
        <v>20</v>
      </c>
      <c r="F44" s="148">
        <v>348</v>
      </c>
      <c r="G44" s="159">
        <v>60</v>
      </c>
      <c r="H44" s="148"/>
      <c r="I44" s="141"/>
      <c r="J44" s="141"/>
      <c r="K44" s="14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63"/>
      <c r="CA44" s="163"/>
      <c r="CB44" s="163"/>
      <c r="CC44" s="163"/>
      <c r="CD44" s="163"/>
      <c r="CE44" s="163"/>
      <c r="CF44" s="163"/>
      <c r="CG44" s="163"/>
      <c r="CH44" s="163"/>
      <c r="CI44" s="163"/>
      <c r="CJ44" s="163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3"/>
      <c r="CZ44" s="163"/>
      <c r="DA44" s="163"/>
      <c r="DB44" s="163"/>
      <c r="DC44" s="163"/>
      <c r="DD44" s="163"/>
      <c r="DE44" s="163"/>
      <c r="DF44" s="163"/>
      <c r="DG44" s="163"/>
      <c r="DH44" s="163"/>
      <c r="DI44" s="163"/>
      <c r="DJ44" s="163"/>
      <c r="DK44" s="163"/>
      <c r="DL44" s="163"/>
    </row>
    <row r="45" spans="1:116" s="109" customFormat="1" ht="15" thickBot="1">
      <c r="A45" s="163"/>
      <c r="B45" s="10">
        <v>42</v>
      </c>
      <c r="C45" s="148">
        <v>0</v>
      </c>
      <c r="D45" s="159">
        <v>0</v>
      </c>
      <c r="E45" s="149">
        <f t="shared" si="0"/>
        <v>0</v>
      </c>
      <c r="F45" s="148">
        <v>0</v>
      </c>
      <c r="G45" s="159">
        <v>0</v>
      </c>
      <c r="H45" s="148"/>
      <c r="I45" s="141"/>
      <c r="J45" s="141"/>
      <c r="K45" s="14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3"/>
      <c r="CZ45" s="163"/>
      <c r="DA45" s="163"/>
      <c r="DB45" s="163"/>
      <c r="DC45" s="163"/>
      <c r="DD45" s="163"/>
      <c r="DE45" s="163"/>
      <c r="DF45" s="163"/>
      <c r="DG45" s="163"/>
      <c r="DH45" s="163"/>
      <c r="DI45" s="163"/>
      <c r="DJ45" s="163"/>
      <c r="DK45" s="163"/>
      <c r="DL45" s="163"/>
    </row>
    <row r="46" spans="1:116" s="109" customFormat="1" ht="15" thickBot="1">
      <c r="A46" s="163"/>
      <c r="B46" s="10">
        <v>43</v>
      </c>
      <c r="C46" s="148">
        <v>0</v>
      </c>
      <c r="D46" s="159">
        <v>0</v>
      </c>
      <c r="E46" s="149">
        <f t="shared" si="0"/>
        <v>0</v>
      </c>
      <c r="F46" s="148">
        <v>0</v>
      </c>
      <c r="G46" s="159">
        <v>0</v>
      </c>
      <c r="H46" s="148"/>
      <c r="I46" s="141"/>
      <c r="J46" s="141"/>
      <c r="K46" s="142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3"/>
      <c r="CZ46" s="163"/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</row>
    <row r="47" spans="1:116" s="109" customFormat="1" ht="15" thickBot="1">
      <c r="A47" s="163"/>
      <c r="B47" s="10">
        <v>44</v>
      </c>
      <c r="C47" s="148">
        <v>0</v>
      </c>
      <c r="D47" s="159">
        <v>0</v>
      </c>
      <c r="E47" s="149">
        <f t="shared" si="0"/>
        <v>0</v>
      </c>
      <c r="F47" s="148">
        <v>0</v>
      </c>
      <c r="G47" s="159">
        <v>0</v>
      </c>
      <c r="H47" s="148"/>
      <c r="I47" s="141"/>
      <c r="J47" s="141"/>
      <c r="K47" s="142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63"/>
      <c r="CP47" s="163"/>
      <c r="CQ47" s="163"/>
      <c r="CR47" s="163"/>
      <c r="CS47" s="163"/>
      <c r="CT47" s="163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</row>
    <row r="48" spans="1:116" s="109" customFormat="1" ht="15" thickBot="1">
      <c r="A48" s="163"/>
      <c r="B48" s="10">
        <v>45</v>
      </c>
      <c r="C48" s="148">
        <v>0</v>
      </c>
      <c r="D48" s="159">
        <v>0</v>
      </c>
      <c r="E48" s="149">
        <f t="shared" si="0"/>
        <v>0</v>
      </c>
      <c r="F48" s="148">
        <v>0</v>
      </c>
      <c r="G48" s="159">
        <v>0</v>
      </c>
      <c r="H48" s="148"/>
      <c r="I48" s="141"/>
      <c r="J48" s="141"/>
      <c r="K48" s="142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</row>
    <row r="49" spans="1:116" s="109" customFormat="1" ht="15" thickBot="1">
      <c r="A49" s="163"/>
      <c r="B49" s="10">
        <v>46</v>
      </c>
      <c r="C49" s="148">
        <v>0</v>
      </c>
      <c r="D49" s="159">
        <v>4</v>
      </c>
      <c r="E49" s="149">
        <f t="shared" si="0"/>
        <v>4</v>
      </c>
      <c r="F49" s="148">
        <v>0</v>
      </c>
      <c r="G49" s="159">
        <v>2130</v>
      </c>
      <c r="H49" s="148"/>
      <c r="I49" s="141"/>
      <c r="J49" s="141"/>
      <c r="K49" s="142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</row>
    <row r="50" spans="1:116" s="109" customFormat="1" ht="15" thickBot="1">
      <c r="A50" s="163"/>
      <c r="B50" s="10">
        <v>47</v>
      </c>
      <c r="C50" s="148">
        <v>4</v>
      </c>
      <c r="D50" s="159">
        <v>8</v>
      </c>
      <c r="E50" s="149">
        <f t="shared" si="0"/>
        <v>12</v>
      </c>
      <c r="F50" s="148">
        <v>1560</v>
      </c>
      <c r="G50" s="159">
        <v>1290</v>
      </c>
      <c r="H50" s="148"/>
      <c r="I50" s="141"/>
      <c r="J50" s="141"/>
      <c r="K50" s="142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</row>
    <row r="51" spans="1:116" s="109" customFormat="1" ht="15" thickBot="1">
      <c r="A51" s="163"/>
      <c r="B51" s="10">
        <v>48</v>
      </c>
      <c r="C51" s="148">
        <v>0</v>
      </c>
      <c r="D51" s="159">
        <v>0</v>
      </c>
      <c r="E51" s="149">
        <f t="shared" si="0"/>
        <v>0</v>
      </c>
      <c r="F51" s="148">
        <v>0</v>
      </c>
      <c r="G51" s="159">
        <v>0</v>
      </c>
      <c r="H51" s="148"/>
      <c r="I51" s="141"/>
      <c r="J51" s="141"/>
      <c r="K51" s="142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</row>
    <row r="52" spans="1:116" s="109" customFormat="1" ht="15" thickBot="1">
      <c r="A52" s="163"/>
      <c r="B52" s="10">
        <v>49</v>
      </c>
      <c r="C52" s="148">
        <v>0</v>
      </c>
      <c r="D52" s="159">
        <v>0</v>
      </c>
      <c r="E52" s="149">
        <f t="shared" si="0"/>
        <v>0</v>
      </c>
      <c r="F52" s="148">
        <v>0</v>
      </c>
      <c r="G52" s="159">
        <v>0</v>
      </c>
      <c r="H52" s="148"/>
      <c r="I52" s="141"/>
      <c r="J52" s="141"/>
      <c r="K52" s="142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</row>
    <row r="53" spans="1:116" s="109" customFormat="1" ht="15" thickBot="1">
      <c r="A53" s="163"/>
      <c r="B53" s="10">
        <v>50</v>
      </c>
      <c r="C53" s="148">
        <v>0</v>
      </c>
      <c r="D53" s="159">
        <v>0</v>
      </c>
      <c r="E53" s="149">
        <f t="shared" si="0"/>
        <v>0</v>
      </c>
      <c r="F53" s="148">
        <v>0</v>
      </c>
      <c r="G53" s="159">
        <v>0</v>
      </c>
      <c r="H53" s="148"/>
      <c r="I53" s="141"/>
      <c r="J53" s="141"/>
      <c r="K53" s="142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63"/>
      <c r="DF53" s="163"/>
      <c r="DG53" s="163"/>
      <c r="DH53" s="163"/>
      <c r="DI53" s="163"/>
      <c r="DJ53" s="163"/>
      <c r="DK53" s="163"/>
      <c r="DL53" s="163"/>
    </row>
    <row r="54" spans="1:116" s="109" customFormat="1" ht="15" thickBot="1">
      <c r="A54" s="163"/>
      <c r="B54" s="10">
        <v>51</v>
      </c>
      <c r="C54" s="148">
        <v>0</v>
      </c>
      <c r="D54" s="159">
        <v>0</v>
      </c>
      <c r="E54" s="149">
        <f t="shared" si="0"/>
        <v>0</v>
      </c>
      <c r="F54" s="148">
        <v>0</v>
      </c>
      <c r="G54" s="159">
        <v>0</v>
      </c>
      <c r="H54" s="148"/>
      <c r="I54" s="141"/>
      <c r="J54" s="141"/>
      <c r="K54" s="142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3"/>
      <c r="CK54" s="163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3"/>
      <c r="CZ54" s="163"/>
      <c r="DA54" s="163"/>
      <c r="DB54" s="163"/>
      <c r="DC54" s="163"/>
      <c r="DD54" s="163"/>
      <c r="DE54" s="163"/>
      <c r="DF54" s="163"/>
      <c r="DG54" s="163"/>
      <c r="DH54" s="163"/>
      <c r="DI54" s="163"/>
      <c r="DJ54" s="163"/>
      <c r="DK54" s="163"/>
      <c r="DL54" s="163"/>
    </row>
    <row r="55" spans="1:116" s="109" customFormat="1" ht="15" thickBot="1">
      <c r="A55" s="163"/>
      <c r="B55" s="10">
        <v>52</v>
      </c>
      <c r="C55" s="148">
        <v>0</v>
      </c>
      <c r="D55" s="159">
        <v>0</v>
      </c>
      <c r="E55" s="149">
        <f t="shared" si="0"/>
        <v>0</v>
      </c>
      <c r="F55" s="148">
        <v>0</v>
      </c>
      <c r="G55" s="159">
        <v>0</v>
      </c>
      <c r="H55" s="148"/>
      <c r="I55" s="141"/>
      <c r="J55" s="141"/>
      <c r="K55" s="142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</row>
    <row r="56" spans="1:116" s="109" customFormat="1" ht="15" thickBot="1">
      <c r="A56" s="163"/>
      <c r="B56" s="10">
        <v>53</v>
      </c>
      <c r="C56" s="148">
        <v>0</v>
      </c>
      <c r="D56" s="159">
        <v>0</v>
      </c>
      <c r="E56" s="149">
        <f t="shared" si="0"/>
        <v>0</v>
      </c>
      <c r="F56" s="148">
        <v>0</v>
      </c>
      <c r="G56" s="159">
        <v>0</v>
      </c>
      <c r="H56" s="148"/>
      <c r="I56" s="141"/>
      <c r="J56" s="141"/>
      <c r="K56" s="142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</row>
    <row r="57" spans="1:116" s="109" customFormat="1" ht="15" thickBot="1">
      <c r="A57" s="163"/>
      <c r="B57" s="10">
        <v>54</v>
      </c>
      <c r="C57" s="148">
        <v>20</v>
      </c>
      <c r="D57" s="159">
        <v>0</v>
      </c>
      <c r="E57" s="149">
        <f t="shared" si="0"/>
        <v>20</v>
      </c>
      <c r="F57" s="148">
        <v>848</v>
      </c>
      <c r="G57" s="159">
        <v>0</v>
      </c>
      <c r="H57" s="148"/>
      <c r="I57" s="141"/>
      <c r="J57" s="141"/>
      <c r="K57" s="142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3"/>
      <c r="CD57" s="163"/>
      <c r="CE57" s="163"/>
      <c r="CF57" s="163"/>
      <c r="CG57" s="163"/>
      <c r="CH57" s="163"/>
      <c r="CI57" s="163"/>
      <c r="CJ57" s="163"/>
      <c r="CK57" s="163"/>
      <c r="CL57" s="163"/>
      <c r="CM57" s="163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163"/>
      <c r="DF57" s="163"/>
      <c r="DG57" s="163"/>
      <c r="DH57" s="163"/>
      <c r="DI57" s="163"/>
      <c r="DJ57" s="163"/>
      <c r="DK57" s="163"/>
      <c r="DL57" s="163"/>
    </row>
    <row r="58" spans="1:116" s="109" customFormat="1" ht="15" thickBot="1">
      <c r="A58" s="163"/>
      <c r="B58" s="10">
        <v>55</v>
      </c>
      <c r="C58" s="148">
        <v>0</v>
      </c>
      <c r="D58" s="159">
        <v>0</v>
      </c>
      <c r="E58" s="149">
        <f t="shared" si="0"/>
        <v>0</v>
      </c>
      <c r="F58" s="148">
        <v>0</v>
      </c>
      <c r="G58" s="159">
        <v>0</v>
      </c>
      <c r="H58" s="148"/>
      <c r="I58" s="141"/>
      <c r="J58" s="141"/>
      <c r="K58" s="142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163"/>
      <c r="DF58" s="163"/>
      <c r="DG58" s="163"/>
      <c r="DH58" s="163"/>
      <c r="DI58" s="163"/>
      <c r="DJ58" s="163"/>
      <c r="DK58" s="163"/>
      <c r="DL58" s="163"/>
    </row>
    <row r="59" spans="1:116" s="109" customFormat="1" ht="15" thickBot="1">
      <c r="A59" s="163"/>
      <c r="B59" s="10">
        <v>56</v>
      </c>
      <c r="C59" s="148">
        <v>0</v>
      </c>
      <c r="D59" s="159">
        <v>0</v>
      </c>
      <c r="E59" s="149">
        <f t="shared" si="0"/>
        <v>0</v>
      </c>
      <c r="F59" s="148">
        <v>0</v>
      </c>
      <c r="G59" s="159">
        <v>0</v>
      </c>
      <c r="H59" s="148"/>
      <c r="I59" s="141"/>
      <c r="J59" s="141"/>
      <c r="K59" s="142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3"/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3"/>
      <c r="DH59" s="163"/>
      <c r="DI59" s="163"/>
      <c r="DJ59" s="163"/>
      <c r="DK59" s="163"/>
      <c r="DL59" s="163"/>
    </row>
    <row r="60" spans="1:116" s="109" customFormat="1" ht="15" thickBot="1">
      <c r="A60" s="163"/>
      <c r="B60" s="10">
        <v>57</v>
      </c>
      <c r="C60" s="148">
        <v>0</v>
      </c>
      <c r="D60" s="159">
        <v>0</v>
      </c>
      <c r="E60" s="149">
        <f t="shared" si="0"/>
        <v>0</v>
      </c>
      <c r="F60" s="148">
        <v>0</v>
      </c>
      <c r="G60" s="159">
        <v>0</v>
      </c>
      <c r="H60" s="148"/>
      <c r="I60" s="141"/>
      <c r="J60" s="141"/>
      <c r="K60" s="142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</row>
    <row r="61" spans="1:116" s="109" customFormat="1" ht="15" thickBot="1">
      <c r="A61" s="163"/>
      <c r="B61" s="10">
        <v>58</v>
      </c>
      <c r="C61" s="148">
        <v>0</v>
      </c>
      <c r="D61" s="159">
        <v>0</v>
      </c>
      <c r="E61" s="149">
        <f t="shared" si="0"/>
        <v>0</v>
      </c>
      <c r="F61" s="148">
        <v>0</v>
      </c>
      <c r="G61" s="159">
        <v>0</v>
      </c>
      <c r="H61" s="148"/>
      <c r="I61" s="141"/>
      <c r="J61" s="141"/>
      <c r="K61" s="142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</row>
    <row r="62" spans="1:116" s="109" customFormat="1" ht="15" thickBot="1">
      <c r="A62" s="163"/>
      <c r="B62" s="10">
        <v>59</v>
      </c>
      <c r="C62" s="148">
        <v>0</v>
      </c>
      <c r="D62" s="159">
        <v>0</v>
      </c>
      <c r="E62" s="149">
        <f t="shared" si="0"/>
        <v>0</v>
      </c>
      <c r="F62" s="148">
        <v>0</v>
      </c>
      <c r="G62" s="159">
        <v>0</v>
      </c>
      <c r="H62" s="148"/>
      <c r="I62" s="141"/>
      <c r="J62" s="141"/>
      <c r="K62" s="142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</row>
    <row r="63" spans="1:116" s="109" customFormat="1" ht="15" thickBot="1">
      <c r="A63" s="163"/>
      <c r="B63" s="10">
        <v>60</v>
      </c>
      <c r="C63" s="148">
        <v>0</v>
      </c>
      <c r="D63" s="159">
        <v>0</v>
      </c>
      <c r="E63" s="149">
        <f t="shared" si="0"/>
        <v>0</v>
      </c>
      <c r="F63" s="148">
        <v>0</v>
      </c>
      <c r="G63" s="159">
        <v>0</v>
      </c>
      <c r="H63" s="148"/>
      <c r="I63" s="141"/>
      <c r="J63" s="141"/>
      <c r="K63" s="142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</row>
    <row r="64" spans="1:116" s="109" customFormat="1" ht="15" thickBot="1">
      <c r="A64" s="163"/>
      <c r="B64" s="10">
        <v>61</v>
      </c>
      <c r="C64" s="148">
        <v>0</v>
      </c>
      <c r="D64" s="159">
        <v>20</v>
      </c>
      <c r="E64" s="149">
        <f t="shared" si="0"/>
        <v>20</v>
      </c>
      <c r="F64" s="148">
        <v>885</v>
      </c>
      <c r="G64" s="159">
        <v>885</v>
      </c>
      <c r="H64" s="148"/>
      <c r="I64" s="141"/>
      <c r="J64" s="141"/>
      <c r="K64" s="142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</row>
    <row r="65" spans="1:116" s="109" customFormat="1" ht="15" thickBot="1">
      <c r="A65" s="163"/>
      <c r="B65" s="10">
        <v>62</v>
      </c>
      <c r="C65" s="148">
        <v>0</v>
      </c>
      <c r="D65" s="159">
        <v>20</v>
      </c>
      <c r="E65" s="149">
        <f t="shared" si="0"/>
        <v>20</v>
      </c>
      <c r="F65" s="148">
        <v>240</v>
      </c>
      <c r="G65" s="159">
        <v>960</v>
      </c>
      <c r="H65" s="148"/>
      <c r="I65" s="141"/>
      <c r="J65" s="141"/>
      <c r="K65" s="142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</row>
    <row r="66" spans="1:116" s="109" customFormat="1" ht="15" thickBot="1">
      <c r="A66" s="163"/>
      <c r="B66" s="10">
        <v>63</v>
      </c>
      <c r="C66" s="148">
        <v>0</v>
      </c>
      <c r="D66" s="159">
        <v>12</v>
      </c>
      <c r="E66" s="149">
        <f t="shared" si="0"/>
        <v>12</v>
      </c>
      <c r="F66" s="148">
        <v>0</v>
      </c>
      <c r="G66" s="159">
        <v>1680</v>
      </c>
      <c r="H66" s="148"/>
      <c r="I66" s="141"/>
      <c r="J66" s="141"/>
      <c r="K66" s="142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</row>
    <row r="67" spans="1:116" s="109" customFormat="1" ht="15" thickBot="1">
      <c r="A67" s="163"/>
      <c r="B67" s="10">
        <v>64</v>
      </c>
      <c r="C67" s="148">
        <v>0</v>
      </c>
      <c r="D67" s="159">
        <v>0</v>
      </c>
      <c r="E67" s="149">
        <f t="shared" si="0"/>
        <v>0</v>
      </c>
      <c r="F67" s="148">
        <v>0</v>
      </c>
      <c r="G67" s="159">
        <v>0</v>
      </c>
      <c r="H67" s="148"/>
      <c r="I67" s="141"/>
      <c r="J67" s="141"/>
      <c r="K67" s="142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</row>
    <row r="68" spans="1:116" s="109" customFormat="1" ht="15" thickBot="1">
      <c r="A68" s="163"/>
      <c r="B68" s="10">
        <v>65</v>
      </c>
      <c r="C68" s="148">
        <v>0</v>
      </c>
      <c r="D68" s="159">
        <v>0</v>
      </c>
      <c r="E68" s="149">
        <f t="shared" si="0"/>
        <v>0</v>
      </c>
      <c r="F68" s="148">
        <v>0</v>
      </c>
      <c r="G68" s="159">
        <v>0</v>
      </c>
      <c r="H68" s="148"/>
      <c r="I68" s="141"/>
      <c r="J68" s="141"/>
      <c r="K68" s="142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</row>
    <row r="69" spans="1:116" s="109" customFormat="1" ht="15" thickBot="1">
      <c r="A69" s="163"/>
      <c r="B69" s="10">
        <v>66</v>
      </c>
      <c r="C69" s="148">
        <v>0</v>
      </c>
      <c r="D69" s="159">
        <v>4</v>
      </c>
      <c r="E69" s="149">
        <f t="shared" si="0"/>
        <v>4</v>
      </c>
      <c r="F69" s="148">
        <v>0</v>
      </c>
      <c r="G69" s="159">
        <v>1050</v>
      </c>
      <c r="H69" s="148"/>
      <c r="I69" s="141"/>
      <c r="J69" s="141"/>
      <c r="K69" s="142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</row>
    <row r="70" spans="1:116" s="109" customFormat="1" ht="15" thickBot="1">
      <c r="A70" s="163"/>
      <c r="B70" s="10">
        <v>67</v>
      </c>
      <c r="C70" s="148">
        <v>22</v>
      </c>
      <c r="D70" s="159">
        <v>13</v>
      </c>
      <c r="E70" s="149">
        <f t="shared" si="0"/>
        <v>35</v>
      </c>
      <c r="F70" s="148">
        <v>720</v>
      </c>
      <c r="G70" s="159">
        <v>390</v>
      </c>
      <c r="H70" s="148"/>
      <c r="I70" s="141"/>
      <c r="J70" s="141"/>
      <c r="K70" s="142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</row>
    <row r="71" spans="1:116" s="109" customFormat="1" ht="15" thickBot="1">
      <c r="A71" s="163"/>
      <c r="B71" s="10">
        <v>68</v>
      </c>
      <c r="C71" s="148">
        <v>0</v>
      </c>
      <c r="D71" s="159">
        <v>0</v>
      </c>
      <c r="E71" s="149">
        <f t="shared" si="0"/>
        <v>0</v>
      </c>
      <c r="F71" s="148">
        <v>0</v>
      </c>
      <c r="G71" s="159">
        <v>1080</v>
      </c>
      <c r="H71" s="148"/>
      <c r="I71" s="141"/>
      <c r="J71" s="141"/>
      <c r="K71" s="142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3"/>
      <c r="CG71" s="163"/>
      <c r="CH71" s="163"/>
      <c r="CI71" s="163"/>
      <c r="CJ71" s="163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</row>
    <row r="72" spans="1:116" s="109" customFormat="1" ht="15" thickBot="1">
      <c r="A72" s="163"/>
      <c r="B72" s="10">
        <v>69</v>
      </c>
      <c r="C72" s="148">
        <v>0</v>
      </c>
      <c r="D72" s="159">
        <v>36</v>
      </c>
      <c r="E72" s="149">
        <f t="shared" si="0"/>
        <v>36</v>
      </c>
      <c r="F72" s="148">
        <v>1020</v>
      </c>
      <c r="G72" s="159">
        <v>1020</v>
      </c>
      <c r="H72" s="148"/>
      <c r="I72" s="141"/>
      <c r="J72" s="141"/>
      <c r="K72" s="142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3"/>
      <c r="CJ72" s="163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</row>
    <row r="73" spans="1:116" s="109" customFormat="1" ht="15" thickBot="1">
      <c r="A73" s="163"/>
      <c r="B73" s="10">
        <v>70</v>
      </c>
      <c r="C73" s="148">
        <v>0</v>
      </c>
      <c r="D73" s="159">
        <v>0</v>
      </c>
      <c r="E73" s="149">
        <f t="shared" si="0"/>
        <v>0</v>
      </c>
      <c r="F73" s="148">
        <v>0</v>
      </c>
      <c r="G73" s="159">
        <v>0</v>
      </c>
      <c r="H73" s="148"/>
      <c r="I73" s="141"/>
      <c r="J73" s="141"/>
      <c r="K73" s="142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3"/>
      <c r="BN73" s="163"/>
      <c r="BO73" s="163"/>
      <c r="BP73" s="163"/>
      <c r="BQ73" s="163"/>
      <c r="BR73" s="163"/>
      <c r="BS73" s="163"/>
      <c r="BT73" s="163"/>
      <c r="BU73" s="163"/>
      <c r="BV73" s="163"/>
      <c r="BW73" s="163"/>
      <c r="BX73" s="163"/>
      <c r="BY73" s="163"/>
      <c r="BZ73" s="163"/>
      <c r="CA73" s="163"/>
      <c r="CB73" s="163"/>
      <c r="CC73" s="163"/>
      <c r="CD73" s="163"/>
      <c r="CE73" s="163"/>
      <c r="CF73" s="163"/>
      <c r="CG73" s="163"/>
      <c r="CH73" s="163"/>
      <c r="CI73" s="163"/>
      <c r="CJ73" s="163"/>
      <c r="CK73" s="163"/>
      <c r="CL73" s="163"/>
      <c r="CM73" s="163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  <c r="CY73" s="163"/>
      <c r="CZ73" s="163"/>
      <c r="DA73" s="163"/>
      <c r="DB73" s="163"/>
      <c r="DC73" s="163"/>
      <c r="DD73" s="163"/>
      <c r="DE73" s="163"/>
      <c r="DF73" s="163"/>
      <c r="DG73" s="163"/>
      <c r="DH73" s="163"/>
      <c r="DI73" s="163"/>
      <c r="DJ73" s="163"/>
      <c r="DK73" s="163"/>
      <c r="DL73" s="163"/>
    </row>
    <row r="74" spans="1:116" s="109" customFormat="1" ht="15" thickBot="1">
      <c r="A74" s="163"/>
      <c r="B74" s="10">
        <v>71</v>
      </c>
      <c r="C74" s="148">
        <v>0</v>
      </c>
      <c r="D74" s="159">
        <v>0</v>
      </c>
      <c r="E74" s="149">
        <f t="shared" si="0"/>
        <v>0</v>
      </c>
      <c r="F74" s="148">
        <v>0</v>
      </c>
      <c r="G74" s="159">
        <v>0</v>
      </c>
      <c r="H74" s="148"/>
      <c r="I74" s="141"/>
      <c r="J74" s="141"/>
      <c r="K74" s="142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  <c r="BG74" s="163"/>
      <c r="BH74" s="163"/>
      <c r="BI74" s="163"/>
      <c r="BJ74" s="163"/>
      <c r="BK74" s="163"/>
      <c r="BL74" s="163"/>
      <c r="BM74" s="163"/>
      <c r="BN74" s="163"/>
      <c r="BO74" s="163"/>
      <c r="BP74" s="163"/>
      <c r="BQ74" s="163"/>
      <c r="BR74" s="163"/>
      <c r="BS74" s="163"/>
      <c r="BT74" s="163"/>
      <c r="BU74" s="163"/>
      <c r="BV74" s="163"/>
      <c r="BW74" s="163"/>
      <c r="BX74" s="163"/>
      <c r="BY74" s="163"/>
      <c r="BZ74" s="163"/>
      <c r="CA74" s="163"/>
      <c r="CB74" s="163"/>
      <c r="CC74" s="163"/>
      <c r="CD74" s="163"/>
      <c r="CE74" s="163"/>
      <c r="CF74" s="163"/>
      <c r="CG74" s="163"/>
      <c r="CH74" s="163"/>
      <c r="CI74" s="163"/>
      <c r="CJ74" s="163"/>
      <c r="CK74" s="163"/>
      <c r="CL74" s="163"/>
      <c r="CM74" s="163"/>
      <c r="CN74" s="163"/>
      <c r="CO74" s="163"/>
      <c r="CP74" s="163"/>
      <c r="CQ74" s="163"/>
      <c r="CR74" s="163"/>
      <c r="CS74" s="163"/>
      <c r="CT74" s="163"/>
      <c r="CU74" s="163"/>
      <c r="CV74" s="163"/>
      <c r="CW74" s="163"/>
      <c r="CX74" s="163"/>
      <c r="CY74" s="163"/>
      <c r="CZ74" s="163"/>
      <c r="DA74" s="163"/>
      <c r="DB74" s="163"/>
      <c r="DC74" s="163"/>
      <c r="DD74" s="163"/>
      <c r="DE74" s="163"/>
      <c r="DF74" s="163"/>
      <c r="DG74" s="163"/>
      <c r="DH74" s="163"/>
      <c r="DI74" s="163"/>
      <c r="DJ74" s="163"/>
      <c r="DK74" s="163"/>
      <c r="DL74" s="163"/>
    </row>
    <row r="75" spans="1:116" s="109" customFormat="1" ht="15" thickBot="1">
      <c r="A75" s="163"/>
      <c r="B75" s="10">
        <v>72</v>
      </c>
      <c r="C75" s="148">
        <v>0</v>
      </c>
      <c r="D75" s="159">
        <v>0</v>
      </c>
      <c r="E75" s="149">
        <f t="shared" si="0"/>
        <v>0</v>
      </c>
      <c r="F75" s="148">
        <v>0</v>
      </c>
      <c r="G75" s="159">
        <v>0</v>
      </c>
      <c r="H75" s="148"/>
      <c r="I75" s="141"/>
      <c r="J75" s="141"/>
      <c r="K75" s="142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163"/>
      <c r="BL75" s="163"/>
      <c r="BM75" s="163"/>
      <c r="BN75" s="163"/>
      <c r="BO75" s="163"/>
      <c r="BP75" s="163"/>
      <c r="BQ75" s="163"/>
      <c r="BR75" s="163"/>
      <c r="BS75" s="163"/>
      <c r="BT75" s="163"/>
      <c r="BU75" s="163"/>
      <c r="BV75" s="163"/>
      <c r="BW75" s="163"/>
      <c r="BX75" s="163"/>
      <c r="BY75" s="163"/>
      <c r="BZ75" s="163"/>
      <c r="CA75" s="163"/>
      <c r="CB75" s="163"/>
      <c r="CC75" s="163"/>
      <c r="CD75" s="163"/>
      <c r="CE75" s="163"/>
      <c r="CF75" s="163"/>
      <c r="CG75" s="163"/>
      <c r="CH75" s="163"/>
      <c r="CI75" s="163"/>
      <c r="CJ75" s="163"/>
      <c r="CK75" s="163"/>
      <c r="CL75" s="163"/>
      <c r="CM75" s="163"/>
      <c r="CN75" s="163"/>
      <c r="CO75" s="163"/>
      <c r="CP75" s="163"/>
      <c r="CQ75" s="163"/>
      <c r="CR75" s="163"/>
      <c r="CS75" s="163"/>
      <c r="CT75" s="163"/>
      <c r="CU75" s="163"/>
      <c r="CV75" s="163"/>
      <c r="CW75" s="163"/>
      <c r="CX75" s="163"/>
      <c r="CY75" s="163"/>
      <c r="CZ75" s="163"/>
      <c r="DA75" s="163"/>
      <c r="DB75" s="163"/>
      <c r="DC75" s="163"/>
      <c r="DD75" s="163"/>
      <c r="DE75" s="163"/>
      <c r="DF75" s="163"/>
      <c r="DG75" s="163"/>
      <c r="DH75" s="163"/>
      <c r="DI75" s="163"/>
      <c r="DJ75" s="163"/>
      <c r="DK75" s="163"/>
      <c r="DL75" s="163"/>
    </row>
    <row r="76" spans="1:116" s="109" customFormat="1" ht="15" thickBot="1">
      <c r="A76" s="163"/>
      <c r="B76" s="10">
        <v>73</v>
      </c>
      <c r="C76" s="148">
        <v>0</v>
      </c>
      <c r="D76" s="159">
        <v>0</v>
      </c>
      <c r="E76" s="149">
        <f t="shared" si="0"/>
        <v>0</v>
      </c>
      <c r="F76" s="148">
        <v>0</v>
      </c>
      <c r="G76" s="159">
        <v>0</v>
      </c>
      <c r="H76" s="148"/>
      <c r="I76" s="141"/>
      <c r="J76" s="141"/>
      <c r="K76" s="142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63"/>
      <c r="BP76" s="163"/>
      <c r="BQ76" s="163"/>
      <c r="BR76" s="163"/>
      <c r="BS76" s="163"/>
      <c r="BT76" s="163"/>
      <c r="BU76" s="163"/>
      <c r="BV76" s="163"/>
      <c r="BW76" s="163"/>
      <c r="BX76" s="163"/>
      <c r="BY76" s="163"/>
      <c r="BZ76" s="163"/>
      <c r="CA76" s="163"/>
      <c r="CB76" s="163"/>
      <c r="CC76" s="163"/>
      <c r="CD76" s="163"/>
      <c r="CE76" s="163"/>
      <c r="CF76" s="163"/>
      <c r="CG76" s="163"/>
      <c r="CH76" s="163"/>
      <c r="CI76" s="163"/>
      <c r="CJ76" s="163"/>
      <c r="CK76" s="163"/>
      <c r="CL76" s="163"/>
      <c r="CM76" s="163"/>
      <c r="CN76" s="163"/>
      <c r="CO76" s="163"/>
      <c r="CP76" s="163"/>
      <c r="CQ76" s="163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</row>
    <row r="77" spans="1:116" s="109" customFormat="1" ht="15" thickBot="1">
      <c r="A77" s="163"/>
      <c r="B77" s="10">
        <v>74</v>
      </c>
      <c r="C77" s="148">
        <v>0</v>
      </c>
      <c r="D77" s="159">
        <v>0</v>
      </c>
      <c r="E77" s="149">
        <f t="shared" si="0"/>
        <v>0</v>
      </c>
      <c r="F77" s="148">
        <v>0</v>
      </c>
      <c r="G77" s="159">
        <v>0</v>
      </c>
      <c r="H77" s="148"/>
      <c r="I77" s="141"/>
      <c r="J77" s="141"/>
      <c r="K77" s="142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/>
      <c r="BF77" s="163"/>
      <c r="BG77" s="163"/>
      <c r="BH77" s="163"/>
      <c r="BI77" s="163"/>
      <c r="BJ77" s="163"/>
      <c r="BK77" s="163"/>
      <c r="BL77" s="163"/>
      <c r="BM77" s="163"/>
      <c r="BN77" s="163"/>
      <c r="BO77" s="163"/>
      <c r="BP77" s="163"/>
      <c r="BQ77" s="163"/>
      <c r="BR77" s="163"/>
      <c r="BS77" s="163"/>
      <c r="BT77" s="163"/>
      <c r="BU77" s="163"/>
      <c r="BV77" s="163"/>
      <c r="BW77" s="163"/>
      <c r="BX77" s="163"/>
      <c r="BY77" s="163"/>
      <c r="BZ77" s="163"/>
      <c r="CA77" s="163"/>
      <c r="CB77" s="163"/>
      <c r="CC77" s="163"/>
      <c r="CD77" s="163"/>
      <c r="CE77" s="163"/>
      <c r="CF77" s="163"/>
      <c r="CG77" s="163"/>
      <c r="CH77" s="163"/>
      <c r="CI77" s="163"/>
      <c r="CJ77" s="163"/>
      <c r="CK77" s="163"/>
      <c r="CL77" s="163"/>
      <c r="CM77" s="163"/>
      <c r="CN77" s="163"/>
      <c r="CO77" s="163"/>
      <c r="CP77" s="163"/>
      <c r="CQ77" s="163"/>
      <c r="CR77" s="163"/>
      <c r="CS77" s="163"/>
      <c r="CT77" s="163"/>
      <c r="CU77" s="163"/>
      <c r="CV77" s="163"/>
      <c r="CW77" s="163"/>
      <c r="CX77" s="163"/>
      <c r="CY77" s="163"/>
      <c r="CZ77" s="163"/>
      <c r="DA77" s="163"/>
      <c r="DB77" s="163"/>
      <c r="DC77" s="163"/>
      <c r="DD77" s="163"/>
      <c r="DE77" s="163"/>
      <c r="DF77" s="163"/>
      <c r="DG77" s="163"/>
      <c r="DH77" s="163"/>
      <c r="DI77" s="163"/>
      <c r="DJ77" s="163"/>
      <c r="DK77" s="163"/>
      <c r="DL77" s="163"/>
    </row>
    <row r="78" spans="1:116" s="109" customFormat="1" ht="15" thickBot="1">
      <c r="A78" s="163"/>
      <c r="B78" s="10">
        <v>75</v>
      </c>
      <c r="C78" s="148">
        <v>0</v>
      </c>
      <c r="D78" s="159">
        <v>0</v>
      </c>
      <c r="E78" s="149">
        <f t="shared" si="0"/>
        <v>0</v>
      </c>
      <c r="F78" s="148">
        <v>0</v>
      </c>
      <c r="G78" s="159">
        <v>0</v>
      </c>
      <c r="H78" s="148"/>
      <c r="I78" s="141"/>
      <c r="J78" s="141"/>
      <c r="K78" s="142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163"/>
      <c r="BB78" s="163"/>
      <c r="BC78" s="163"/>
      <c r="BD78" s="163"/>
      <c r="BE78" s="163"/>
      <c r="BF78" s="163"/>
      <c r="BG78" s="163"/>
      <c r="BH78" s="163"/>
      <c r="BI78" s="163"/>
      <c r="BJ78" s="163"/>
      <c r="BK78" s="163"/>
      <c r="BL78" s="163"/>
      <c r="BM78" s="163"/>
      <c r="BN78" s="163"/>
      <c r="BO78" s="163"/>
      <c r="BP78" s="163"/>
      <c r="BQ78" s="163"/>
      <c r="BR78" s="163"/>
      <c r="BS78" s="163"/>
      <c r="BT78" s="163"/>
      <c r="BU78" s="163"/>
      <c r="BV78" s="163"/>
      <c r="BW78" s="163"/>
      <c r="BX78" s="163"/>
      <c r="BY78" s="163"/>
      <c r="BZ78" s="163"/>
      <c r="CA78" s="163"/>
      <c r="CB78" s="163"/>
      <c r="CC78" s="163"/>
      <c r="CD78" s="163"/>
      <c r="CE78" s="163"/>
      <c r="CF78" s="163"/>
      <c r="CG78" s="163"/>
      <c r="CH78" s="163"/>
      <c r="CI78" s="163"/>
      <c r="CJ78" s="163"/>
      <c r="CK78" s="163"/>
      <c r="CL78" s="163"/>
      <c r="CM78" s="163"/>
      <c r="CN78" s="163"/>
      <c r="CO78" s="163"/>
      <c r="CP78" s="163"/>
      <c r="CQ78" s="163"/>
      <c r="CR78" s="163"/>
      <c r="CS78" s="163"/>
      <c r="CT78" s="163"/>
      <c r="CU78" s="163"/>
      <c r="CV78" s="163"/>
      <c r="CW78" s="163"/>
      <c r="CX78" s="163"/>
      <c r="CY78" s="163"/>
      <c r="CZ78" s="163"/>
      <c r="DA78" s="163"/>
      <c r="DB78" s="163"/>
      <c r="DC78" s="163"/>
      <c r="DD78" s="163"/>
      <c r="DE78" s="163"/>
      <c r="DF78" s="163"/>
      <c r="DG78" s="163"/>
      <c r="DH78" s="163"/>
      <c r="DI78" s="163"/>
      <c r="DJ78" s="163"/>
      <c r="DK78" s="163"/>
      <c r="DL78" s="163"/>
    </row>
    <row r="79" spans="1:116" s="20" customFormat="1" ht="15" thickBot="1">
      <c r="A79" s="1"/>
      <c r="B79" s="10">
        <v>76</v>
      </c>
      <c r="C79" s="148">
        <v>0</v>
      </c>
      <c r="D79" s="159">
        <v>0</v>
      </c>
      <c r="E79" s="149">
        <f t="shared" si="0"/>
        <v>0</v>
      </c>
      <c r="F79" s="148">
        <v>0</v>
      </c>
      <c r="G79" s="159">
        <v>0</v>
      </c>
      <c r="H79" s="12">
        <f t="shared" si="1"/>
        <v>0</v>
      </c>
      <c r="I79" s="141">
        <f t="shared" si="2"/>
        <v>0</v>
      </c>
      <c r="J79" s="141">
        <f t="shared" si="3"/>
        <v>0</v>
      </c>
      <c r="K79" s="142">
        <f t="shared" si="4"/>
        <v>0</v>
      </c>
      <c r="L79" s="1"/>
      <c r="M79" s="32"/>
      <c r="N79" s="3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</row>
    <row r="80" spans="1:116" s="20" customFormat="1" ht="15" thickBot="1">
      <c r="A80" s="1"/>
      <c r="B80" s="10">
        <v>77</v>
      </c>
      <c r="C80" s="148">
        <v>0</v>
      </c>
      <c r="D80" s="159">
        <v>0</v>
      </c>
      <c r="E80" s="149">
        <f t="shared" si="0"/>
        <v>0</v>
      </c>
      <c r="F80" s="148">
        <v>0</v>
      </c>
      <c r="G80" s="159">
        <v>0</v>
      </c>
      <c r="H80" s="12">
        <f t="shared" si="1"/>
        <v>0</v>
      </c>
      <c r="I80" s="141">
        <f t="shared" si="2"/>
        <v>0</v>
      </c>
      <c r="J80" s="141">
        <f t="shared" si="3"/>
        <v>0</v>
      </c>
      <c r="K80" s="142">
        <f t="shared" si="4"/>
        <v>0</v>
      </c>
      <c r="L80" s="1"/>
      <c r="M80" s="32"/>
      <c r="N80" s="32"/>
      <c r="O80" s="1"/>
      <c r="P80" s="1"/>
      <c r="Q80" s="1"/>
      <c r="R80" s="130"/>
      <c r="S80" s="130"/>
      <c r="T80" s="130"/>
      <c r="U80" s="130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</row>
    <row r="81" spans="1:116" s="20" customFormat="1" ht="15" thickBot="1">
      <c r="A81" s="1"/>
      <c r="B81" s="10">
        <v>78</v>
      </c>
      <c r="C81" s="148">
        <v>0</v>
      </c>
      <c r="D81" s="159">
        <v>0</v>
      </c>
      <c r="E81" s="149">
        <f t="shared" si="0"/>
        <v>0</v>
      </c>
      <c r="F81" s="148">
        <v>0</v>
      </c>
      <c r="G81" s="159">
        <v>0</v>
      </c>
      <c r="H81" s="12">
        <f t="shared" si="1"/>
        <v>0</v>
      </c>
      <c r="I81" s="141">
        <f t="shared" si="2"/>
        <v>0</v>
      </c>
      <c r="J81" s="141">
        <f t="shared" si="3"/>
        <v>0</v>
      </c>
      <c r="K81" s="142">
        <f t="shared" si="4"/>
        <v>0</v>
      </c>
      <c r="L81" s="1"/>
      <c r="M81" s="32"/>
      <c r="N81" s="32"/>
      <c r="O81" s="1"/>
      <c r="P81" s="1"/>
      <c r="Q81" s="1"/>
      <c r="R81" s="130"/>
      <c r="S81" s="130"/>
      <c r="T81" s="130"/>
      <c r="U81" s="130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</row>
    <row r="82" spans="1:116" s="20" customFormat="1" ht="15" thickBot="1">
      <c r="A82" s="1"/>
      <c r="B82" s="10">
        <v>79</v>
      </c>
      <c r="C82" s="148">
        <v>0</v>
      </c>
      <c r="D82" s="159">
        <v>0</v>
      </c>
      <c r="E82" s="149">
        <f t="shared" si="0"/>
        <v>0</v>
      </c>
      <c r="F82" s="148">
        <v>0</v>
      </c>
      <c r="G82" s="159">
        <v>0</v>
      </c>
      <c r="H82" s="12">
        <f t="shared" si="1"/>
        <v>0</v>
      </c>
      <c r="I82" s="141">
        <f t="shared" si="2"/>
        <v>0</v>
      </c>
      <c r="J82" s="141">
        <f t="shared" si="3"/>
        <v>0</v>
      </c>
      <c r="K82" s="142">
        <f t="shared" si="4"/>
        <v>0</v>
      </c>
      <c r="L82" s="1"/>
      <c r="M82" s="32"/>
      <c r="N82" s="32"/>
      <c r="O82" s="1"/>
      <c r="P82" s="1"/>
      <c r="Q82" s="1"/>
      <c r="R82" s="130"/>
      <c r="S82" s="130"/>
      <c r="T82" s="130"/>
      <c r="U82" s="130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</row>
    <row r="83" spans="1:116" s="20" customFormat="1" ht="15" thickBot="1">
      <c r="A83" s="1"/>
      <c r="B83" s="10">
        <v>80</v>
      </c>
      <c r="C83" s="148">
        <v>0</v>
      </c>
      <c r="D83" s="159">
        <v>0</v>
      </c>
      <c r="E83" s="149">
        <f t="shared" si="0"/>
        <v>0</v>
      </c>
      <c r="F83" s="148">
        <v>0</v>
      </c>
      <c r="G83" s="159">
        <v>0</v>
      </c>
      <c r="H83" s="12">
        <f t="shared" si="1"/>
        <v>0</v>
      </c>
      <c r="I83" s="141">
        <f t="shared" si="2"/>
        <v>0</v>
      </c>
      <c r="J83" s="141">
        <f t="shared" si="3"/>
        <v>0</v>
      </c>
      <c r="K83" s="142">
        <f t="shared" si="4"/>
        <v>0</v>
      </c>
      <c r="L83" s="1"/>
      <c r="M83" s="32"/>
      <c r="N83" s="32"/>
      <c r="O83" s="1"/>
      <c r="P83" s="1"/>
      <c r="Q83" s="1"/>
      <c r="R83" s="130"/>
      <c r="S83" s="130"/>
      <c r="T83" s="130"/>
      <c r="U83" s="130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</row>
    <row r="84" spans="1:116" s="20" customFormat="1" ht="15" thickBot="1">
      <c r="A84" s="1"/>
      <c r="B84" s="10">
        <v>81</v>
      </c>
      <c r="C84" s="148">
        <v>0</v>
      </c>
      <c r="D84" s="159">
        <v>0</v>
      </c>
      <c r="E84" s="149">
        <f t="shared" si="0"/>
        <v>0</v>
      </c>
      <c r="F84" s="148">
        <v>0</v>
      </c>
      <c r="G84" s="159">
        <v>0</v>
      </c>
      <c r="H84" s="12">
        <f t="shared" si="1"/>
        <v>0</v>
      </c>
      <c r="I84" s="141">
        <f t="shared" si="2"/>
        <v>0</v>
      </c>
      <c r="J84" s="141">
        <f t="shared" si="3"/>
        <v>0</v>
      </c>
      <c r="K84" s="142">
        <f t="shared" si="4"/>
        <v>0</v>
      </c>
      <c r="L84" s="1"/>
      <c r="M84" s="32"/>
      <c r="N84" s="32"/>
      <c r="O84" s="1"/>
      <c r="P84" s="1"/>
      <c r="Q84" s="1"/>
      <c r="R84" s="130"/>
      <c r="S84" s="130"/>
      <c r="T84" s="130"/>
      <c r="U84" s="130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</row>
    <row r="85" spans="1:116" s="20" customFormat="1" ht="15" thickBot="1">
      <c r="A85" s="1"/>
      <c r="B85" s="10">
        <v>82</v>
      </c>
      <c r="C85" s="148">
        <v>0</v>
      </c>
      <c r="D85" s="159">
        <v>0</v>
      </c>
      <c r="E85" s="149">
        <f t="shared" si="0"/>
        <v>0</v>
      </c>
      <c r="F85" s="148">
        <v>0</v>
      </c>
      <c r="G85" s="159">
        <v>0</v>
      </c>
      <c r="H85" s="12">
        <f t="shared" si="1"/>
        <v>0</v>
      </c>
      <c r="I85" s="141">
        <f t="shared" si="2"/>
        <v>0</v>
      </c>
      <c r="J85" s="141">
        <f t="shared" si="3"/>
        <v>0</v>
      </c>
      <c r="K85" s="142">
        <f t="shared" si="4"/>
        <v>0</v>
      </c>
      <c r="L85" s="1"/>
      <c r="M85" s="32"/>
      <c r="N85" s="3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</row>
    <row r="86" spans="1:116" s="20" customFormat="1" ht="15" thickBot="1">
      <c r="A86" s="1"/>
      <c r="B86" s="10">
        <v>83</v>
      </c>
      <c r="C86" s="148">
        <v>0</v>
      </c>
      <c r="D86" s="159">
        <v>0</v>
      </c>
      <c r="E86" s="149">
        <f t="shared" si="0"/>
        <v>0</v>
      </c>
      <c r="F86" s="148">
        <v>0</v>
      </c>
      <c r="G86" s="159">
        <v>0</v>
      </c>
      <c r="H86" s="12">
        <f t="shared" si="1"/>
        <v>0</v>
      </c>
      <c r="I86" s="141">
        <f t="shared" si="2"/>
        <v>0</v>
      </c>
      <c r="J86" s="141">
        <f t="shared" si="3"/>
        <v>0</v>
      </c>
      <c r="K86" s="142">
        <f t="shared" si="4"/>
        <v>0</v>
      </c>
      <c r="L86" s="1"/>
      <c r="M86" s="32"/>
      <c r="N86" s="3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</row>
    <row r="87" spans="1:116" s="20" customFormat="1" ht="15" thickBot="1">
      <c r="A87" s="1"/>
      <c r="B87" s="10">
        <v>84</v>
      </c>
      <c r="C87" s="148">
        <v>0</v>
      </c>
      <c r="D87" s="159">
        <v>0</v>
      </c>
      <c r="E87" s="149">
        <f t="shared" si="0"/>
        <v>0</v>
      </c>
      <c r="F87" s="148">
        <v>0</v>
      </c>
      <c r="G87" s="159">
        <v>0</v>
      </c>
      <c r="H87" s="12">
        <f t="shared" si="1"/>
        <v>0</v>
      </c>
      <c r="I87" s="141">
        <f t="shared" si="2"/>
        <v>0</v>
      </c>
      <c r="J87" s="141">
        <f t="shared" si="3"/>
        <v>0</v>
      </c>
      <c r="K87" s="142">
        <f t="shared" si="4"/>
        <v>0</v>
      </c>
      <c r="L87" s="1"/>
      <c r="M87" s="32"/>
      <c r="N87" s="3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</row>
    <row r="88" spans="1:116" s="20" customFormat="1" ht="15" thickBot="1">
      <c r="A88" s="1"/>
      <c r="B88" s="10">
        <v>85</v>
      </c>
      <c r="C88" s="148">
        <v>0</v>
      </c>
      <c r="D88" s="159">
        <v>0</v>
      </c>
      <c r="E88" s="149">
        <f t="shared" si="0"/>
        <v>0</v>
      </c>
      <c r="F88" s="148">
        <v>0</v>
      </c>
      <c r="G88" s="159">
        <v>0</v>
      </c>
      <c r="H88" s="12">
        <f t="shared" si="1"/>
        <v>0</v>
      </c>
      <c r="I88" s="141">
        <f t="shared" si="2"/>
        <v>0</v>
      </c>
      <c r="J88" s="141">
        <f t="shared" si="3"/>
        <v>0</v>
      </c>
      <c r="K88" s="142">
        <f t="shared" si="4"/>
        <v>0</v>
      </c>
      <c r="L88" s="1"/>
      <c r="M88" s="32"/>
      <c r="N88" s="3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</row>
    <row r="89" spans="1:116" s="20" customFormat="1" ht="15" thickBot="1">
      <c r="A89" s="1"/>
      <c r="B89" s="10">
        <v>86</v>
      </c>
      <c r="C89" s="148">
        <v>0</v>
      </c>
      <c r="D89" s="159">
        <v>0</v>
      </c>
      <c r="E89" s="149">
        <f t="shared" si="0"/>
        <v>0</v>
      </c>
      <c r="F89" s="148">
        <v>0</v>
      </c>
      <c r="G89" s="159">
        <v>0</v>
      </c>
      <c r="H89" s="12">
        <f t="shared" si="1"/>
        <v>0</v>
      </c>
      <c r="I89" s="141">
        <f t="shared" si="2"/>
        <v>0</v>
      </c>
      <c r="J89" s="141">
        <f t="shared" si="3"/>
        <v>0</v>
      </c>
      <c r="K89" s="142">
        <f t="shared" si="4"/>
        <v>0</v>
      </c>
      <c r="L89" s="1"/>
      <c r="M89" s="32"/>
      <c r="N89" s="3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</row>
    <row r="90" spans="1:116" s="20" customFormat="1" ht="15" thickBot="1">
      <c r="A90" s="1"/>
      <c r="B90" s="10">
        <v>87</v>
      </c>
      <c r="C90" s="148">
        <v>0</v>
      </c>
      <c r="D90" s="159">
        <v>0</v>
      </c>
      <c r="E90" s="149">
        <f t="shared" si="0"/>
        <v>0</v>
      </c>
      <c r="F90" s="148">
        <v>0</v>
      </c>
      <c r="G90" s="159">
        <v>0</v>
      </c>
      <c r="H90" s="12">
        <f t="shared" si="1"/>
        <v>0</v>
      </c>
      <c r="I90" s="141">
        <f t="shared" si="2"/>
        <v>0</v>
      </c>
      <c r="J90" s="141">
        <f t="shared" si="3"/>
        <v>0</v>
      </c>
      <c r="K90" s="142">
        <f t="shared" si="4"/>
        <v>0</v>
      </c>
      <c r="L90" s="1"/>
      <c r="M90" s="32"/>
      <c r="N90" s="3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</row>
    <row r="91" spans="1:116" s="20" customFormat="1" ht="15" thickBot="1">
      <c r="A91" s="1"/>
      <c r="B91" s="10">
        <v>88</v>
      </c>
      <c r="C91" s="148">
        <v>0</v>
      </c>
      <c r="D91" s="159">
        <v>0</v>
      </c>
      <c r="E91" s="149">
        <f t="shared" si="0"/>
        <v>0</v>
      </c>
      <c r="F91" s="148">
        <v>0</v>
      </c>
      <c r="G91" s="159">
        <v>0</v>
      </c>
      <c r="H91" s="12">
        <f t="shared" si="1"/>
        <v>0</v>
      </c>
      <c r="I91" s="141">
        <f t="shared" si="2"/>
        <v>0</v>
      </c>
      <c r="J91" s="141">
        <f t="shared" si="3"/>
        <v>0</v>
      </c>
      <c r="K91" s="142">
        <f t="shared" si="4"/>
        <v>0</v>
      </c>
      <c r="L91" s="1"/>
      <c r="M91" s="32"/>
      <c r="N91" s="3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</row>
    <row r="92" spans="1:116" s="20" customFormat="1" ht="15" thickBot="1">
      <c r="A92" s="1"/>
      <c r="B92" s="10">
        <v>89</v>
      </c>
      <c r="C92" s="148">
        <v>0</v>
      </c>
      <c r="D92" s="159">
        <v>0</v>
      </c>
      <c r="E92" s="149">
        <f t="shared" si="0"/>
        <v>0</v>
      </c>
      <c r="F92" s="148">
        <v>0</v>
      </c>
      <c r="G92" s="159">
        <v>0</v>
      </c>
      <c r="H92" s="12">
        <f t="shared" si="1"/>
        <v>0</v>
      </c>
      <c r="I92" s="141">
        <f t="shared" si="2"/>
        <v>0</v>
      </c>
      <c r="J92" s="141">
        <f t="shared" si="3"/>
        <v>0</v>
      </c>
      <c r="K92" s="142">
        <f t="shared" si="4"/>
        <v>0</v>
      </c>
      <c r="L92" s="1"/>
      <c r="M92" s="32"/>
      <c r="N92" s="3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</row>
    <row r="93" spans="1:116" s="109" customFormat="1" ht="15" thickBot="1">
      <c r="A93" s="163"/>
      <c r="B93" s="10">
        <v>90</v>
      </c>
      <c r="C93" s="148">
        <v>0</v>
      </c>
      <c r="D93" s="159">
        <v>0</v>
      </c>
      <c r="E93" s="149">
        <f t="shared" si="0"/>
        <v>0</v>
      </c>
      <c r="F93" s="148">
        <v>0</v>
      </c>
      <c r="G93" s="159">
        <v>0</v>
      </c>
      <c r="H93" s="148"/>
      <c r="I93" s="141"/>
      <c r="J93" s="141"/>
      <c r="K93" s="142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63"/>
      <c r="BH93" s="163"/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163"/>
      <c r="BV93" s="163"/>
      <c r="BW93" s="163"/>
      <c r="BX93" s="163"/>
      <c r="BY93" s="163"/>
      <c r="BZ93" s="163"/>
      <c r="CA93" s="163"/>
      <c r="CB93" s="163"/>
      <c r="CC93" s="163"/>
      <c r="CD93" s="163"/>
      <c r="CE93" s="163"/>
      <c r="CF93" s="163"/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3"/>
      <c r="CZ93" s="163"/>
      <c r="DA93" s="163"/>
      <c r="DB93" s="163"/>
      <c r="DC93" s="163"/>
      <c r="DD93" s="163"/>
      <c r="DE93" s="163"/>
      <c r="DF93" s="163"/>
      <c r="DG93" s="163"/>
      <c r="DH93" s="163"/>
      <c r="DI93" s="163"/>
      <c r="DJ93" s="163"/>
      <c r="DK93" s="163"/>
      <c r="DL93" s="163"/>
    </row>
    <row r="94" spans="1:116" s="109" customFormat="1" ht="15" thickBot="1">
      <c r="A94" s="163"/>
      <c r="B94" s="187">
        <v>91</v>
      </c>
      <c r="C94" s="188">
        <v>3</v>
      </c>
      <c r="D94" s="188"/>
      <c r="E94" s="149">
        <f t="shared" ref="E94" si="11">C94+D94</f>
        <v>3</v>
      </c>
      <c r="F94" s="188">
        <v>0</v>
      </c>
      <c r="G94" s="188">
        <v>0</v>
      </c>
      <c r="H94" s="188"/>
      <c r="I94" s="189"/>
      <c r="J94" s="189"/>
      <c r="K94" s="190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  <c r="AZ94" s="163"/>
      <c r="BA94" s="163"/>
      <c r="BB94" s="163"/>
      <c r="BC94" s="163"/>
      <c r="BD94" s="163"/>
      <c r="BE94" s="163"/>
      <c r="BF94" s="163"/>
      <c r="BG94" s="163"/>
      <c r="BH94" s="163"/>
      <c r="BI94" s="163"/>
      <c r="BJ94" s="163"/>
      <c r="BK94" s="163"/>
      <c r="BL94" s="163"/>
      <c r="BM94" s="163"/>
      <c r="BN94" s="163"/>
      <c r="BO94" s="163"/>
      <c r="BP94" s="163"/>
      <c r="BQ94" s="163"/>
      <c r="BR94" s="163"/>
      <c r="BS94" s="163"/>
      <c r="BT94" s="163"/>
      <c r="BU94" s="163"/>
      <c r="BV94" s="163"/>
      <c r="BW94" s="163"/>
      <c r="BX94" s="163"/>
      <c r="BY94" s="163"/>
      <c r="BZ94" s="163"/>
      <c r="CA94" s="163"/>
      <c r="CB94" s="163"/>
      <c r="CC94" s="163"/>
      <c r="CD94" s="163"/>
      <c r="CE94" s="163"/>
      <c r="CF94" s="163"/>
      <c r="CG94" s="163"/>
      <c r="CH94" s="163"/>
      <c r="CI94" s="163"/>
      <c r="CJ94" s="163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3"/>
      <c r="CZ94" s="163"/>
      <c r="DA94" s="163"/>
      <c r="DB94" s="163"/>
      <c r="DC94" s="163"/>
      <c r="DD94" s="163"/>
      <c r="DE94" s="163"/>
      <c r="DF94" s="163"/>
      <c r="DG94" s="163"/>
      <c r="DH94" s="163"/>
      <c r="DI94" s="163"/>
      <c r="DJ94" s="163"/>
      <c r="DK94" s="163"/>
      <c r="DL94" s="163"/>
    </row>
    <row r="95" spans="1:116" s="20" customFormat="1" ht="26.4" thickBot="1">
      <c r="A95" s="1"/>
      <c r="B95" s="14" t="s">
        <v>13</v>
      </c>
      <c r="C95" s="150">
        <f>SUM(C4:C94)</f>
        <v>117</v>
      </c>
      <c r="D95" s="150">
        <f>SUM(D4:D94)</f>
        <v>267</v>
      </c>
      <c r="E95" s="150">
        <f>SUM(E4:E94)</f>
        <v>384</v>
      </c>
      <c r="F95" s="150">
        <f t="shared" ref="F95:K95" si="12">SUM(F4:F93)</f>
        <v>16970</v>
      </c>
      <c r="G95" s="150">
        <f t="shared" si="12"/>
        <v>25280</v>
      </c>
      <c r="H95" s="15">
        <f t="shared" si="12"/>
        <v>22438</v>
      </c>
      <c r="I95" s="15">
        <f t="shared" si="12"/>
        <v>92111.119217860789</v>
      </c>
      <c r="J95" s="15">
        <f t="shared" si="12"/>
        <v>214088.24820171689</v>
      </c>
      <c r="K95" s="16">
        <f t="shared" si="12"/>
        <v>107072.69195298343</v>
      </c>
      <c r="L95" s="1"/>
      <c r="M95" s="32"/>
      <c r="N95" s="3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</row>
    <row r="96" spans="1:116" s="20" customFormat="1" ht="181.5" customHeight="1">
      <c r="A96" s="1"/>
      <c r="B96" s="24"/>
      <c r="C96" s="151"/>
      <c r="D96" s="151"/>
      <c r="E96" s="151"/>
      <c r="F96" s="151"/>
      <c r="G96" s="151"/>
      <c r="H96" s="25"/>
      <c r="I96" s="25"/>
      <c r="J96" s="25"/>
      <c r="K96" s="25"/>
      <c r="L96" s="1"/>
      <c r="M96" s="32"/>
      <c r="N96" s="3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</row>
    <row r="97" spans="1:120" s="31" customFormat="1" ht="28.8">
      <c r="A97" s="31" t="s">
        <v>26</v>
      </c>
      <c r="C97" s="155"/>
      <c r="D97" s="155"/>
      <c r="E97" s="155"/>
      <c r="F97" s="155"/>
      <c r="G97" s="155"/>
    </row>
    <row r="98" spans="1:120" s="13" customFormat="1" ht="27" customHeight="1" thickBot="1">
      <c r="A98" s="32"/>
      <c r="B98" s="32"/>
      <c r="C98" s="146"/>
      <c r="D98" s="146"/>
      <c r="E98" s="146"/>
      <c r="F98" s="146"/>
      <c r="G98" s="146"/>
      <c r="H98" s="130"/>
      <c r="I98" s="130"/>
      <c r="J98" s="130"/>
      <c r="K98" s="130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</row>
    <row r="99" spans="1:120" s="13" customFormat="1" ht="29.4" thickBot="1">
      <c r="A99" s="32"/>
      <c r="B99" s="26" t="s">
        <v>11</v>
      </c>
      <c r="C99" s="152" t="s">
        <v>19</v>
      </c>
      <c r="D99" s="153" t="s">
        <v>20</v>
      </c>
      <c r="E99" s="147" t="s">
        <v>12</v>
      </c>
      <c r="F99" s="152" t="s">
        <v>40</v>
      </c>
      <c r="G99" s="152" t="s">
        <v>41</v>
      </c>
      <c r="H99" s="27" t="s">
        <v>42</v>
      </c>
      <c r="I99" s="27" t="s">
        <v>43</v>
      </c>
      <c r="J99" s="27" t="s">
        <v>44</v>
      </c>
      <c r="K99" s="27" t="s">
        <v>45</v>
      </c>
      <c r="L99" s="32"/>
      <c r="M99" s="205" t="s">
        <v>9</v>
      </c>
      <c r="N99" s="206"/>
      <c r="O99" s="206"/>
      <c r="P99" s="207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205" t="s">
        <v>9</v>
      </c>
      <c r="AI99" s="206"/>
      <c r="AJ99" s="206"/>
      <c r="AK99" s="207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</row>
    <row r="100" spans="1:120" s="13" customFormat="1" ht="15" thickBot="1">
      <c r="A100" s="32"/>
      <c r="B100" s="11">
        <v>1</v>
      </c>
      <c r="C100" s="148">
        <v>45</v>
      </c>
      <c r="D100" s="159">
        <v>155</v>
      </c>
      <c r="E100" s="149">
        <f>C100+D100</f>
        <v>200</v>
      </c>
      <c r="F100" s="148">
        <v>6750</v>
      </c>
      <c r="G100" s="159">
        <v>8880</v>
      </c>
      <c r="H100" s="135">
        <f>F100+G100</f>
        <v>15630</v>
      </c>
      <c r="I100" s="141">
        <f t="shared" ref="I100:I189" si="13">IF(F100&lt;&gt;0,C100*1000000/F100,0)</f>
        <v>6666.666666666667</v>
      </c>
      <c r="J100" s="141">
        <f t="shared" ref="J100:J189" si="14">IF(G100&lt;&gt;0,D100*1000000/G100,0)</f>
        <v>17454.954954954956</v>
      </c>
      <c r="K100" s="142">
        <f t="shared" ref="K100:K189" si="15">IF(H100&lt;&gt;0,E100*1000000/H100,0)</f>
        <v>12795.905310300705</v>
      </c>
      <c r="L100" s="32"/>
      <c r="M100" s="121" t="s">
        <v>14</v>
      </c>
      <c r="N100" s="117" t="s">
        <v>15</v>
      </c>
      <c r="O100" s="119" t="s">
        <v>38</v>
      </c>
      <c r="P100" s="120" t="s">
        <v>39</v>
      </c>
      <c r="Q100" s="114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116" t="s">
        <v>14</v>
      </c>
      <c r="AI100" s="110" t="s">
        <v>15</v>
      </c>
      <c r="AJ100" s="119" t="s">
        <v>38</v>
      </c>
      <c r="AK100" s="120" t="s">
        <v>39</v>
      </c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</row>
    <row r="101" spans="1:120" s="13" customFormat="1" ht="15" thickBot="1">
      <c r="A101" s="32"/>
      <c r="B101" s="10">
        <v>2</v>
      </c>
      <c r="C101" s="148">
        <v>14</v>
      </c>
      <c r="D101" s="159">
        <v>91</v>
      </c>
      <c r="E101" s="149">
        <f t="shared" ref="E101:E190" si="16">C101+D101</f>
        <v>105</v>
      </c>
      <c r="F101" s="148">
        <v>4500</v>
      </c>
      <c r="G101" s="159">
        <v>6030</v>
      </c>
      <c r="H101" s="135">
        <f t="shared" ref="H101:H189" si="17">F101+G101</f>
        <v>10530</v>
      </c>
      <c r="I101" s="141">
        <f t="shared" si="13"/>
        <v>3111.1111111111113</v>
      </c>
      <c r="J101" s="141">
        <f t="shared" si="14"/>
        <v>15091.210613598674</v>
      </c>
      <c r="K101" s="142">
        <f t="shared" si="15"/>
        <v>9971.5099715099714</v>
      </c>
      <c r="L101" s="32"/>
      <c r="M101" s="144">
        <v>60</v>
      </c>
      <c r="N101" s="144">
        <v>25</v>
      </c>
      <c r="O101" s="144">
        <v>180</v>
      </c>
      <c r="P101" s="145">
        <f>(N101/O101)*1000000</f>
        <v>138888.88888888891</v>
      </c>
      <c r="Q101" s="114" t="str">
        <f>CONCATENATE(N101,"/ ",O101)</f>
        <v>25/ 180</v>
      </c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128">
        <v>16</v>
      </c>
      <c r="AI101" s="157">
        <v>130</v>
      </c>
      <c r="AJ101" s="166"/>
      <c r="AK101" s="167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</row>
    <row r="102" spans="1:120" s="13" customFormat="1" ht="15" thickBot="1">
      <c r="A102" s="32"/>
      <c r="B102" s="10">
        <v>3</v>
      </c>
      <c r="C102" s="148">
        <v>23</v>
      </c>
      <c r="D102" s="159">
        <v>35</v>
      </c>
      <c r="E102" s="149">
        <f t="shared" si="16"/>
        <v>58</v>
      </c>
      <c r="F102" s="148">
        <v>16050</v>
      </c>
      <c r="G102" s="159">
        <v>1890</v>
      </c>
      <c r="H102" s="135">
        <f t="shared" si="17"/>
        <v>17940</v>
      </c>
      <c r="I102" s="141">
        <f t="shared" si="13"/>
        <v>1433.0218068535826</v>
      </c>
      <c r="J102" s="141">
        <f t="shared" si="14"/>
        <v>18518.518518518518</v>
      </c>
      <c r="K102" s="142">
        <f t="shared" si="15"/>
        <v>3232.9988851727981</v>
      </c>
      <c r="L102" s="32"/>
      <c r="M102" s="140">
        <v>74</v>
      </c>
      <c r="N102" s="140">
        <v>4</v>
      </c>
      <c r="O102" s="140">
        <v>55</v>
      </c>
      <c r="P102" s="162">
        <f t="shared" ref="P102:P105" si="18">(N102/O102)*1000000</f>
        <v>72727.272727272721</v>
      </c>
      <c r="Q102" s="114" t="str">
        <f t="shared" ref="Q102:Q106" si="19">CONCATENATE(N102,"/ ",O102)</f>
        <v>4/ 55</v>
      </c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157">
        <v>54</v>
      </c>
      <c r="AI102" s="157">
        <v>121</v>
      </c>
      <c r="AJ102" s="166"/>
      <c r="AK102" s="167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</row>
    <row r="103" spans="1:120" s="32" customFormat="1" ht="15" thickBot="1">
      <c r="B103" s="10">
        <v>4</v>
      </c>
      <c r="C103" s="148">
        <v>29</v>
      </c>
      <c r="D103" s="159">
        <v>28</v>
      </c>
      <c r="E103" s="149">
        <f t="shared" si="16"/>
        <v>57</v>
      </c>
      <c r="F103" s="148">
        <v>9000</v>
      </c>
      <c r="G103" s="159">
        <v>1230</v>
      </c>
      <c r="H103" s="135">
        <f t="shared" si="17"/>
        <v>10230</v>
      </c>
      <c r="I103" s="141">
        <f t="shared" si="13"/>
        <v>3222.2222222222222</v>
      </c>
      <c r="J103" s="141">
        <f t="shared" si="14"/>
        <v>22764.227642276423</v>
      </c>
      <c r="K103" s="142">
        <f t="shared" si="15"/>
        <v>5571.8475073313784</v>
      </c>
      <c r="M103" s="140">
        <v>43</v>
      </c>
      <c r="N103" s="140">
        <v>12</v>
      </c>
      <c r="O103" s="140">
        <v>190</v>
      </c>
      <c r="P103" s="162">
        <f t="shared" si="18"/>
        <v>63157.894736842107</v>
      </c>
      <c r="Q103" s="114" t="str">
        <f t="shared" si="19"/>
        <v>12/ 190</v>
      </c>
      <c r="AH103" s="157">
        <v>91</v>
      </c>
      <c r="AI103" s="157">
        <v>117</v>
      </c>
      <c r="AJ103" s="166"/>
      <c r="AK103" s="167"/>
    </row>
    <row r="104" spans="1:120" s="32" customFormat="1" ht="15" thickBot="1">
      <c r="B104" s="10">
        <v>5</v>
      </c>
      <c r="C104" s="148"/>
      <c r="D104" s="159">
        <v>36</v>
      </c>
      <c r="E104" s="149">
        <f t="shared" si="16"/>
        <v>36</v>
      </c>
      <c r="F104" s="148">
        <v>660</v>
      </c>
      <c r="G104" s="159">
        <v>7410</v>
      </c>
      <c r="H104" s="135">
        <f t="shared" si="17"/>
        <v>8070</v>
      </c>
      <c r="I104" s="141">
        <f t="shared" si="13"/>
        <v>0</v>
      </c>
      <c r="J104" s="141">
        <f t="shared" si="14"/>
        <v>4858.2995951417006</v>
      </c>
      <c r="K104" s="142">
        <f t="shared" si="15"/>
        <v>4460.966542750929</v>
      </c>
      <c r="M104" s="140">
        <v>59</v>
      </c>
      <c r="N104" s="140">
        <v>55</v>
      </c>
      <c r="O104" s="140">
        <v>1588</v>
      </c>
      <c r="P104" s="162">
        <f t="shared" si="18"/>
        <v>34634.760705289671</v>
      </c>
      <c r="Q104" s="114" t="str">
        <f t="shared" si="19"/>
        <v>55/ 1588</v>
      </c>
      <c r="AH104" s="157">
        <v>17</v>
      </c>
      <c r="AI104" s="157">
        <v>75</v>
      </c>
      <c r="AJ104" s="166"/>
      <c r="AK104" s="167"/>
    </row>
    <row r="105" spans="1:120" s="32" customFormat="1" ht="15" thickBot="1">
      <c r="B105" s="10">
        <v>6</v>
      </c>
      <c r="C105" s="148">
        <v>29</v>
      </c>
      <c r="D105" s="159">
        <v>61</v>
      </c>
      <c r="E105" s="149">
        <f t="shared" si="16"/>
        <v>90</v>
      </c>
      <c r="F105" s="148">
        <v>3600</v>
      </c>
      <c r="G105" s="159">
        <v>3000</v>
      </c>
      <c r="H105" s="135">
        <f t="shared" si="17"/>
        <v>6600</v>
      </c>
      <c r="I105" s="141">
        <f t="shared" si="13"/>
        <v>8055.5555555555557</v>
      </c>
      <c r="J105" s="141">
        <f t="shared" si="14"/>
        <v>20333.333333333332</v>
      </c>
      <c r="K105" s="142">
        <f t="shared" si="15"/>
        <v>13636.363636363636</v>
      </c>
      <c r="M105" s="143">
        <v>36</v>
      </c>
      <c r="N105" s="143">
        <v>9</v>
      </c>
      <c r="O105" s="143">
        <v>324</v>
      </c>
      <c r="P105" s="162">
        <f t="shared" si="18"/>
        <v>27777.777777777777</v>
      </c>
      <c r="Q105" s="114" t="str">
        <f t="shared" si="19"/>
        <v>9/ 324</v>
      </c>
      <c r="AH105" s="157">
        <v>44</v>
      </c>
      <c r="AI105" s="157">
        <v>71</v>
      </c>
      <c r="AJ105" s="166"/>
      <c r="AK105" s="167"/>
    </row>
    <row r="106" spans="1:120" s="32" customFormat="1" ht="15" thickBot="1">
      <c r="B106" s="10">
        <v>7</v>
      </c>
      <c r="C106" s="148">
        <v>41</v>
      </c>
      <c r="D106" s="159">
        <v>104</v>
      </c>
      <c r="E106" s="149">
        <f t="shared" si="16"/>
        <v>145</v>
      </c>
      <c r="F106" s="148">
        <v>4260</v>
      </c>
      <c r="G106" s="159">
        <v>5490</v>
      </c>
      <c r="H106" s="135">
        <f t="shared" si="17"/>
        <v>9750</v>
      </c>
      <c r="I106" s="141">
        <f t="shared" si="13"/>
        <v>9624.4131455399056</v>
      </c>
      <c r="J106" s="141">
        <f t="shared" si="14"/>
        <v>18943.533697632058</v>
      </c>
      <c r="K106" s="142">
        <f t="shared" si="15"/>
        <v>14871.794871794871</v>
      </c>
      <c r="M106" s="109"/>
      <c r="N106" s="109"/>
      <c r="O106" s="108"/>
      <c r="P106" s="108"/>
      <c r="Q106" s="32" t="str">
        <f t="shared" si="19"/>
        <v xml:space="preserve">/ 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09"/>
      <c r="AI106" s="109"/>
      <c r="AJ106" s="114"/>
      <c r="AK106" s="114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</row>
    <row r="107" spans="1:120" s="32" customFormat="1" ht="15" thickBot="1">
      <c r="B107" s="10">
        <v>8</v>
      </c>
      <c r="C107" s="148">
        <v>49</v>
      </c>
      <c r="D107" s="159">
        <v>170</v>
      </c>
      <c r="E107" s="149">
        <f t="shared" si="16"/>
        <v>219</v>
      </c>
      <c r="F107" s="148">
        <v>3450</v>
      </c>
      <c r="G107" s="159">
        <v>5910</v>
      </c>
      <c r="H107" s="135">
        <f t="shared" si="17"/>
        <v>9360</v>
      </c>
      <c r="I107" s="141">
        <f t="shared" si="13"/>
        <v>14202.898550724638</v>
      </c>
      <c r="J107" s="141">
        <f t="shared" si="14"/>
        <v>28764.805414551607</v>
      </c>
      <c r="K107" s="142">
        <f t="shared" si="15"/>
        <v>23397.435897435898</v>
      </c>
      <c r="M107" s="211" t="s">
        <v>10</v>
      </c>
      <c r="N107" s="212"/>
      <c r="O107" s="212"/>
      <c r="P107" s="213"/>
      <c r="Y107" s="1"/>
      <c r="Z107" s="1"/>
      <c r="AA107" s="1"/>
      <c r="AB107" s="1"/>
      <c r="AC107" s="1"/>
      <c r="AD107" s="1"/>
      <c r="AE107" s="1"/>
      <c r="AF107" s="1"/>
      <c r="AG107" s="1"/>
      <c r="AH107" s="211" t="s">
        <v>10</v>
      </c>
      <c r="AI107" s="212"/>
      <c r="AJ107" s="212"/>
      <c r="AK107" s="213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</row>
    <row r="108" spans="1:120" s="32" customFormat="1" ht="15" thickBot="1">
      <c r="B108" s="10">
        <v>9</v>
      </c>
      <c r="C108" s="148">
        <v>3</v>
      </c>
      <c r="D108" s="159">
        <v>29</v>
      </c>
      <c r="E108" s="149">
        <f t="shared" si="16"/>
        <v>32</v>
      </c>
      <c r="F108" s="148">
        <v>532</v>
      </c>
      <c r="G108" s="159">
        <v>2159</v>
      </c>
      <c r="H108" s="135">
        <f t="shared" si="17"/>
        <v>2691</v>
      </c>
      <c r="I108" s="141">
        <f t="shared" si="13"/>
        <v>5639.0977443609027</v>
      </c>
      <c r="J108" s="141">
        <f t="shared" si="14"/>
        <v>13432.144511347846</v>
      </c>
      <c r="K108" s="142">
        <f t="shared" si="15"/>
        <v>11891.490152359718</v>
      </c>
      <c r="M108" s="118" t="s">
        <v>14</v>
      </c>
      <c r="N108" s="117" t="s">
        <v>15</v>
      </c>
      <c r="O108" s="119" t="s">
        <v>38</v>
      </c>
      <c r="P108" s="120" t="s">
        <v>39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16" t="s">
        <v>14</v>
      </c>
      <c r="AI108" s="113" t="s">
        <v>15</v>
      </c>
      <c r="AJ108" s="119" t="s">
        <v>38</v>
      </c>
      <c r="AK108" s="120" t="s">
        <v>39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</row>
    <row r="109" spans="1:120" s="32" customFormat="1" ht="15" thickBot="1">
      <c r="B109" s="10">
        <v>10</v>
      </c>
      <c r="C109" s="148">
        <v>4</v>
      </c>
      <c r="D109" s="159">
        <v>59</v>
      </c>
      <c r="E109" s="149">
        <f t="shared" si="16"/>
        <v>63</v>
      </c>
      <c r="F109" s="148">
        <v>1590</v>
      </c>
      <c r="G109" s="159">
        <v>5580</v>
      </c>
      <c r="H109" s="135">
        <f t="shared" si="17"/>
        <v>7170</v>
      </c>
      <c r="I109" s="141">
        <f t="shared" si="13"/>
        <v>2515.7232704402518</v>
      </c>
      <c r="J109" s="141">
        <f t="shared" si="14"/>
        <v>10573.47670250896</v>
      </c>
      <c r="K109" s="142">
        <f t="shared" si="15"/>
        <v>8786.6108786610876</v>
      </c>
      <c r="M109" s="144">
        <v>59</v>
      </c>
      <c r="N109" s="144">
        <v>78</v>
      </c>
      <c r="O109" s="144">
        <v>1206</v>
      </c>
      <c r="P109" s="145">
        <f>(N109/O109)*1000000</f>
        <v>64676.616915422885</v>
      </c>
      <c r="Q109" s="114" t="str">
        <f>CONCATENATE(N109,"/ ",O109)</f>
        <v>78/ 1206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29">
        <v>13</v>
      </c>
      <c r="AI109" s="157">
        <v>227</v>
      </c>
      <c r="AJ109" s="166"/>
      <c r="AK109" s="167">
        <v>9535.0107111353791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</row>
    <row r="110" spans="1:120" s="32" customFormat="1" ht="15" thickBot="1">
      <c r="B110" s="10">
        <v>11</v>
      </c>
      <c r="C110" s="148"/>
      <c r="D110" s="159">
        <v>66</v>
      </c>
      <c r="E110" s="149">
        <f t="shared" si="16"/>
        <v>66</v>
      </c>
      <c r="F110" s="148">
        <v>1980</v>
      </c>
      <c r="G110" s="159">
        <v>4890</v>
      </c>
      <c r="H110" s="135">
        <f t="shared" si="17"/>
        <v>6870</v>
      </c>
      <c r="I110" s="141">
        <f t="shared" si="13"/>
        <v>0</v>
      </c>
      <c r="J110" s="141">
        <f t="shared" si="14"/>
        <v>13496.932515337423</v>
      </c>
      <c r="K110" s="142">
        <f t="shared" si="15"/>
        <v>9606.9868995633187</v>
      </c>
      <c r="M110" s="140">
        <v>43</v>
      </c>
      <c r="N110" s="140">
        <v>13</v>
      </c>
      <c r="O110" s="140">
        <v>220</v>
      </c>
      <c r="P110" s="162">
        <f t="shared" ref="P110:P113" si="20">(N110/O110)*1000000</f>
        <v>59090.909090909088</v>
      </c>
      <c r="Q110" s="114" t="str">
        <f t="shared" ref="Q110:Q113" si="21">CONCATENATE(N110,"/ ",O110)</f>
        <v>13/ 220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57">
        <v>16</v>
      </c>
      <c r="AI110" s="157">
        <v>183</v>
      </c>
      <c r="AJ110" s="166"/>
      <c r="AK110" s="167">
        <v>13090.1287553648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</row>
    <row r="111" spans="1:120" s="32" customFormat="1" ht="15" thickBot="1">
      <c r="B111" s="10">
        <v>12</v>
      </c>
      <c r="C111" s="148">
        <v>55</v>
      </c>
      <c r="D111" s="159">
        <v>98</v>
      </c>
      <c r="E111" s="149">
        <f t="shared" si="16"/>
        <v>153</v>
      </c>
      <c r="F111" s="148">
        <v>6750</v>
      </c>
      <c r="G111" s="159">
        <v>7260</v>
      </c>
      <c r="H111" s="135">
        <f t="shared" si="17"/>
        <v>14010</v>
      </c>
      <c r="I111" s="141">
        <f t="shared" si="13"/>
        <v>8148.1481481481478</v>
      </c>
      <c r="J111" s="141">
        <f t="shared" si="14"/>
        <v>13498.62258953168</v>
      </c>
      <c r="K111" s="142">
        <f t="shared" si="15"/>
        <v>10920.770877944326</v>
      </c>
      <c r="M111" s="140">
        <v>25</v>
      </c>
      <c r="N111" s="140">
        <v>83</v>
      </c>
      <c r="O111" s="140">
        <v>2520</v>
      </c>
      <c r="P111" s="162">
        <f t="shared" si="20"/>
        <v>32936.507936507936</v>
      </c>
      <c r="Q111" s="114" t="str">
        <f t="shared" si="21"/>
        <v>83/ 2520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57">
        <v>8</v>
      </c>
      <c r="AI111" s="157">
        <v>170</v>
      </c>
      <c r="AJ111" s="166"/>
      <c r="AK111" s="167">
        <v>28764.8054145516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</row>
    <row r="112" spans="1:120" s="32" customFormat="1" ht="15" thickBot="1">
      <c r="B112" s="10">
        <v>13</v>
      </c>
      <c r="C112" s="148">
        <v>47</v>
      </c>
      <c r="D112" s="159">
        <v>227</v>
      </c>
      <c r="E112" s="149">
        <f t="shared" si="16"/>
        <v>274</v>
      </c>
      <c r="F112" s="148">
        <v>22237</v>
      </c>
      <c r="G112" s="159">
        <v>23807</v>
      </c>
      <c r="H112" s="135">
        <f t="shared" si="17"/>
        <v>46044</v>
      </c>
      <c r="I112" s="141">
        <f t="shared" si="13"/>
        <v>2113.5944596843101</v>
      </c>
      <c r="J112" s="141">
        <f t="shared" si="14"/>
        <v>9535.0107111353809</v>
      </c>
      <c r="K112" s="142">
        <f t="shared" si="15"/>
        <v>5950.8296412127529</v>
      </c>
      <c r="M112" s="140">
        <v>27</v>
      </c>
      <c r="N112" s="140">
        <v>35</v>
      </c>
      <c r="O112" s="140">
        <v>1080</v>
      </c>
      <c r="P112" s="162">
        <f t="shared" si="20"/>
        <v>32407.407407407405</v>
      </c>
      <c r="Q112" s="114" t="str">
        <f t="shared" si="21"/>
        <v>35/ 1080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57">
        <v>56</v>
      </c>
      <c r="AI112" s="157">
        <v>169</v>
      </c>
      <c r="AJ112" s="166"/>
      <c r="AK112" s="167">
        <v>13898.026315789501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</row>
    <row r="113" spans="1:120" s="32" customFormat="1" ht="15" thickBot="1">
      <c r="B113" s="10">
        <v>14</v>
      </c>
      <c r="C113" s="148">
        <v>5</v>
      </c>
      <c r="D113" s="159">
        <v>118</v>
      </c>
      <c r="E113" s="149">
        <f t="shared" si="16"/>
        <v>123</v>
      </c>
      <c r="F113" s="148">
        <v>9695</v>
      </c>
      <c r="G113" s="159">
        <v>12215</v>
      </c>
      <c r="H113" s="135">
        <f t="shared" si="17"/>
        <v>21910</v>
      </c>
      <c r="I113" s="141">
        <f t="shared" si="13"/>
        <v>515.72975760701388</v>
      </c>
      <c r="J113" s="141">
        <f t="shared" si="14"/>
        <v>9660.2537863282851</v>
      </c>
      <c r="K113" s="142">
        <f t="shared" si="15"/>
        <v>5613.8749429484251</v>
      </c>
      <c r="M113" s="143">
        <v>8</v>
      </c>
      <c r="N113" s="143">
        <v>170</v>
      </c>
      <c r="O113" s="143">
        <v>5910</v>
      </c>
      <c r="P113" s="162">
        <f t="shared" si="20"/>
        <v>28764.805414551607</v>
      </c>
      <c r="Q113" s="114" t="str">
        <f t="shared" si="21"/>
        <v>170/ 5910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57">
        <v>1</v>
      </c>
      <c r="AI113" s="157">
        <v>155</v>
      </c>
      <c r="AJ113" s="166"/>
      <c r="AK113" s="167">
        <v>17454.954954954999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</row>
    <row r="114" spans="1:120" s="32" customFormat="1" ht="15" thickBot="1">
      <c r="B114" s="10">
        <v>15</v>
      </c>
      <c r="C114" s="148">
        <v>9</v>
      </c>
      <c r="D114" s="159">
        <v>38</v>
      </c>
      <c r="E114" s="149">
        <f t="shared" si="16"/>
        <v>47</v>
      </c>
      <c r="F114" s="148">
        <v>10077</v>
      </c>
      <c r="G114" s="159">
        <v>10857</v>
      </c>
      <c r="H114" s="135">
        <f t="shared" si="17"/>
        <v>20934</v>
      </c>
      <c r="I114" s="141">
        <f t="shared" si="13"/>
        <v>893.12295325989874</v>
      </c>
      <c r="J114" s="141">
        <f t="shared" si="14"/>
        <v>3500.0460532375428</v>
      </c>
      <c r="K114" s="142">
        <f t="shared" si="15"/>
        <v>2245.1514282984617</v>
      </c>
      <c r="M114" s="109"/>
      <c r="N114" s="109"/>
      <c r="O114" s="108"/>
      <c r="P114" s="108"/>
      <c r="Y114" s="1"/>
      <c r="Z114" s="1"/>
      <c r="AA114" s="1"/>
      <c r="AB114" s="1"/>
      <c r="AC114" s="1"/>
      <c r="AD114" s="1"/>
      <c r="AE114" s="1"/>
      <c r="AF114" s="1"/>
      <c r="AG114" s="1"/>
      <c r="AH114" s="122"/>
      <c r="AI114" s="122"/>
      <c r="AJ114" s="123"/>
      <c r="AK114" s="124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</row>
    <row r="115" spans="1:120" s="32" customFormat="1" ht="15" thickBot="1">
      <c r="B115" s="10">
        <v>16</v>
      </c>
      <c r="C115" s="148">
        <v>130</v>
      </c>
      <c r="D115" s="159">
        <v>183</v>
      </c>
      <c r="E115" s="149">
        <f t="shared" si="16"/>
        <v>313</v>
      </c>
      <c r="F115" s="148">
        <v>13980</v>
      </c>
      <c r="G115" s="159">
        <v>13980</v>
      </c>
      <c r="H115" s="135">
        <f t="shared" si="17"/>
        <v>27960</v>
      </c>
      <c r="I115" s="141">
        <f t="shared" si="13"/>
        <v>9298.9985693848357</v>
      </c>
      <c r="J115" s="141">
        <f t="shared" si="14"/>
        <v>13090.128755364807</v>
      </c>
      <c r="K115" s="142">
        <f t="shared" si="15"/>
        <v>11194.563662374821</v>
      </c>
      <c r="M115" s="109"/>
      <c r="N115" s="109"/>
      <c r="O115" s="108"/>
      <c r="P115" s="108"/>
      <c r="Y115" s="1"/>
      <c r="Z115" s="1"/>
      <c r="AA115" s="1"/>
      <c r="AB115" s="1"/>
      <c r="AC115" s="1"/>
      <c r="AD115" s="1"/>
      <c r="AE115" s="1"/>
      <c r="AF115" s="1"/>
      <c r="AG115" s="1"/>
      <c r="AH115" s="109"/>
      <c r="AI115" s="109"/>
      <c r="AJ115" s="114"/>
      <c r="AK115" s="114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</row>
    <row r="116" spans="1:120" s="32" customFormat="1" ht="15" thickBot="1">
      <c r="B116" s="10">
        <v>17</v>
      </c>
      <c r="C116" s="148">
        <v>75</v>
      </c>
      <c r="D116" s="159">
        <v>99</v>
      </c>
      <c r="E116" s="149">
        <f t="shared" si="16"/>
        <v>174</v>
      </c>
      <c r="F116" s="148">
        <v>12330</v>
      </c>
      <c r="G116" s="159">
        <v>12630</v>
      </c>
      <c r="H116" s="135">
        <f t="shared" si="17"/>
        <v>24960</v>
      </c>
      <c r="I116" s="141">
        <f t="shared" si="13"/>
        <v>6082.7250608272507</v>
      </c>
      <c r="J116" s="141">
        <f t="shared" si="14"/>
        <v>7838.4798099762475</v>
      </c>
      <c r="K116" s="142">
        <f t="shared" si="15"/>
        <v>6971.1538461538457</v>
      </c>
      <c r="M116" s="208" t="s">
        <v>16</v>
      </c>
      <c r="N116" s="209"/>
      <c r="O116" s="209"/>
      <c r="P116" s="210"/>
      <c r="Y116" s="1"/>
      <c r="Z116" s="1"/>
      <c r="AA116" s="1"/>
      <c r="AB116" s="1"/>
      <c r="AC116" s="1"/>
      <c r="AD116" s="1"/>
      <c r="AE116" s="1"/>
      <c r="AF116" s="1"/>
      <c r="AG116" s="1"/>
      <c r="AH116" s="208" t="s">
        <v>16</v>
      </c>
      <c r="AI116" s="209"/>
      <c r="AJ116" s="209"/>
      <c r="AK116" s="210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</row>
    <row r="117" spans="1:120" s="32" customFormat="1" ht="15" thickBot="1">
      <c r="B117" s="10">
        <v>18</v>
      </c>
      <c r="C117" s="148">
        <v>35</v>
      </c>
      <c r="D117" s="159">
        <v>102</v>
      </c>
      <c r="E117" s="149">
        <f t="shared" si="16"/>
        <v>137</v>
      </c>
      <c r="F117" s="148">
        <v>18585</v>
      </c>
      <c r="G117" s="159">
        <v>18705</v>
      </c>
      <c r="H117" s="135">
        <f t="shared" si="17"/>
        <v>37290</v>
      </c>
      <c r="I117" s="141">
        <f t="shared" si="13"/>
        <v>1883.2391713747645</v>
      </c>
      <c r="J117" s="141">
        <f t="shared" si="14"/>
        <v>5453.0874097834803</v>
      </c>
      <c r="K117" s="142">
        <f t="shared" si="15"/>
        <v>3673.9072137302228</v>
      </c>
      <c r="M117" s="118" t="s">
        <v>14</v>
      </c>
      <c r="N117" s="117" t="s">
        <v>15</v>
      </c>
      <c r="O117" s="119" t="s">
        <v>38</v>
      </c>
      <c r="P117" s="120" t="s">
        <v>39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18" t="s">
        <v>14</v>
      </c>
      <c r="AI117" s="117" t="s">
        <v>15</v>
      </c>
      <c r="AJ117" s="119" t="s">
        <v>38</v>
      </c>
      <c r="AK117" s="120" t="s">
        <v>39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</row>
    <row r="118" spans="1:120" s="32" customFormat="1" ht="15" thickBot="1">
      <c r="B118" s="10">
        <v>19</v>
      </c>
      <c r="C118" s="148"/>
      <c r="D118" s="159">
        <v>22</v>
      </c>
      <c r="E118" s="149">
        <f t="shared" si="16"/>
        <v>22</v>
      </c>
      <c r="F118" s="148">
        <v>11435</v>
      </c>
      <c r="G118" s="159">
        <v>11055</v>
      </c>
      <c r="H118" s="135">
        <f t="shared" si="17"/>
        <v>22490</v>
      </c>
      <c r="I118" s="141">
        <f t="shared" si="13"/>
        <v>0</v>
      </c>
      <c r="J118" s="141">
        <f t="shared" si="14"/>
        <v>1990.0497512437812</v>
      </c>
      <c r="K118" s="142">
        <f t="shared" si="15"/>
        <v>978.2125389061805</v>
      </c>
      <c r="M118" s="144">
        <v>60</v>
      </c>
      <c r="N118" s="144">
        <v>96</v>
      </c>
      <c r="O118" s="144">
        <v>3013</v>
      </c>
      <c r="P118" s="145">
        <f>(N118/O118)*1000000</f>
        <v>31861.931629605046</v>
      </c>
      <c r="Q118" s="114" t="str">
        <f>CONCATENATE(N118,"/ ",O118)</f>
        <v>96/ 3013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31">
        <v>16</v>
      </c>
      <c r="AI118" s="157">
        <v>313</v>
      </c>
      <c r="AJ118" s="166"/>
      <c r="AK118" s="167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</row>
    <row r="119" spans="1:120" s="32" customFormat="1" ht="15" thickBot="1">
      <c r="B119" s="10">
        <v>20</v>
      </c>
      <c r="C119" s="148"/>
      <c r="D119" s="159">
        <v>47</v>
      </c>
      <c r="E119" s="149">
        <f t="shared" si="16"/>
        <v>47</v>
      </c>
      <c r="F119" s="148">
        <v>4065</v>
      </c>
      <c r="G119" s="159">
        <v>4425</v>
      </c>
      <c r="H119" s="135">
        <f t="shared" si="17"/>
        <v>8490</v>
      </c>
      <c r="I119" s="141">
        <f t="shared" si="13"/>
        <v>0</v>
      </c>
      <c r="J119" s="141">
        <f t="shared" si="14"/>
        <v>10621.468926553673</v>
      </c>
      <c r="K119" s="142">
        <f t="shared" si="15"/>
        <v>5535.9246171967025</v>
      </c>
      <c r="M119" s="140">
        <v>43</v>
      </c>
      <c r="N119" s="140">
        <v>25</v>
      </c>
      <c r="O119" s="140">
        <v>410</v>
      </c>
      <c r="P119" s="162">
        <f t="shared" ref="P119:P122" si="22">(N119/O119)*1000000</f>
        <v>60975.609756097561</v>
      </c>
      <c r="Q119" s="114" t="str">
        <f t="shared" ref="Q119:Q122" si="23">CONCATENATE(N119,"/ ",O119)</f>
        <v>25/ 410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57">
        <v>13</v>
      </c>
      <c r="AI119" s="157">
        <v>274</v>
      </c>
      <c r="AJ119" s="166"/>
      <c r="AK119" s="167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</row>
    <row r="120" spans="1:120" s="32" customFormat="1" ht="15" thickBot="1">
      <c r="B120" s="10">
        <v>21</v>
      </c>
      <c r="C120" s="148">
        <v>42</v>
      </c>
      <c r="D120" s="159">
        <v>102</v>
      </c>
      <c r="E120" s="149">
        <f t="shared" si="16"/>
        <v>144</v>
      </c>
      <c r="F120" s="148">
        <v>15870</v>
      </c>
      <c r="G120" s="159">
        <v>15870</v>
      </c>
      <c r="H120" s="135">
        <f t="shared" si="17"/>
        <v>31740</v>
      </c>
      <c r="I120" s="141">
        <f t="shared" si="13"/>
        <v>2646.5028355387522</v>
      </c>
      <c r="J120" s="141">
        <f t="shared" si="14"/>
        <v>6427.2211720226842</v>
      </c>
      <c r="K120" s="142">
        <f t="shared" si="15"/>
        <v>4536.8620037807186</v>
      </c>
      <c r="M120" s="140">
        <v>36</v>
      </c>
      <c r="N120" s="140">
        <v>34</v>
      </c>
      <c r="O120" s="140">
        <v>3808</v>
      </c>
      <c r="P120" s="162">
        <f t="shared" si="22"/>
        <v>8928.5714285714275</v>
      </c>
      <c r="Q120" s="114" t="str">
        <f t="shared" si="23"/>
        <v>34/ 3808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57">
        <v>54</v>
      </c>
      <c r="AI120" s="157">
        <v>249</v>
      </c>
      <c r="AJ120" s="166"/>
      <c r="AK120" s="167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</row>
    <row r="121" spans="1:120" s="32" customFormat="1" ht="15" thickBot="1">
      <c r="B121" s="10">
        <v>22</v>
      </c>
      <c r="C121" s="148">
        <v>58</v>
      </c>
      <c r="D121" s="159">
        <v>94</v>
      </c>
      <c r="E121" s="149">
        <f t="shared" si="16"/>
        <v>152</v>
      </c>
      <c r="F121" s="148">
        <v>15255</v>
      </c>
      <c r="G121" s="159">
        <v>15255</v>
      </c>
      <c r="H121" s="135">
        <f t="shared" si="17"/>
        <v>30510</v>
      </c>
      <c r="I121" s="141">
        <f t="shared" si="13"/>
        <v>3802.0321206161916</v>
      </c>
      <c r="J121" s="141">
        <f t="shared" si="14"/>
        <v>6161.914126515896</v>
      </c>
      <c r="K121" s="142">
        <f t="shared" si="15"/>
        <v>4981.9731235660438</v>
      </c>
      <c r="M121" s="140">
        <v>59</v>
      </c>
      <c r="N121" s="140">
        <v>133</v>
      </c>
      <c r="O121" s="140">
        <v>2794</v>
      </c>
      <c r="P121" s="162">
        <f t="shared" si="22"/>
        <v>47602.004294917686</v>
      </c>
      <c r="Q121" s="114" t="str">
        <f t="shared" si="23"/>
        <v>133/ 2794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57">
        <v>91</v>
      </c>
      <c r="AI121" s="157">
        <v>220</v>
      </c>
      <c r="AJ121" s="166"/>
      <c r="AK121" s="167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</row>
    <row r="122" spans="1:120" s="32" customFormat="1" ht="15" thickBot="1">
      <c r="A122" s="1"/>
      <c r="B122" s="10">
        <v>23</v>
      </c>
      <c r="C122" s="148">
        <v>39</v>
      </c>
      <c r="D122" s="159">
        <v>90</v>
      </c>
      <c r="E122" s="149">
        <f t="shared" si="16"/>
        <v>129</v>
      </c>
      <c r="F122" s="148">
        <v>10620</v>
      </c>
      <c r="G122" s="159">
        <v>10620</v>
      </c>
      <c r="H122" s="135">
        <f t="shared" si="17"/>
        <v>21240</v>
      </c>
      <c r="I122" s="141">
        <f t="shared" si="13"/>
        <v>3672.3163841807909</v>
      </c>
      <c r="J122" s="141">
        <f t="shared" si="14"/>
        <v>8474.5762711864409</v>
      </c>
      <c r="K122" s="142">
        <f t="shared" si="15"/>
        <v>6073.4463276836159</v>
      </c>
      <c r="M122" s="143">
        <v>8</v>
      </c>
      <c r="N122" s="143">
        <v>219</v>
      </c>
      <c r="O122" s="143">
        <v>9360</v>
      </c>
      <c r="P122" s="162">
        <f t="shared" si="22"/>
        <v>23397.435897435898</v>
      </c>
      <c r="Q122" s="114" t="str">
        <f t="shared" si="23"/>
        <v>219/ 9360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57">
        <v>8</v>
      </c>
      <c r="AI122" s="157">
        <v>219</v>
      </c>
      <c r="AJ122" s="166"/>
      <c r="AK122" s="167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</row>
    <row r="123" spans="1:120" s="32" customFormat="1" ht="15" thickBot="1">
      <c r="A123" s="1"/>
      <c r="B123" s="10">
        <v>24</v>
      </c>
      <c r="C123" s="148"/>
      <c r="D123" s="159">
        <v>154</v>
      </c>
      <c r="E123" s="149">
        <f t="shared" si="16"/>
        <v>154</v>
      </c>
      <c r="F123" s="148">
        <v>10695</v>
      </c>
      <c r="G123" s="159">
        <v>12525</v>
      </c>
      <c r="H123" s="135">
        <f t="shared" si="17"/>
        <v>23220</v>
      </c>
      <c r="I123" s="141">
        <f t="shared" si="13"/>
        <v>0</v>
      </c>
      <c r="J123" s="141">
        <f t="shared" si="14"/>
        <v>12295.409181636727</v>
      </c>
      <c r="K123" s="142">
        <f t="shared" si="15"/>
        <v>6632.2136089577953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</row>
    <row r="124" spans="1:120" s="163" customFormat="1" ht="15" thickBot="1">
      <c r="B124" s="10">
        <v>25</v>
      </c>
      <c r="C124" s="148">
        <v>31</v>
      </c>
      <c r="D124" s="159">
        <v>83</v>
      </c>
      <c r="E124" s="149">
        <f t="shared" si="16"/>
        <v>114</v>
      </c>
      <c r="F124" s="148">
        <v>2640</v>
      </c>
      <c r="G124" s="159">
        <v>2520</v>
      </c>
      <c r="H124" s="148"/>
      <c r="I124" s="141"/>
      <c r="J124" s="141"/>
      <c r="K124" s="142"/>
    </row>
    <row r="125" spans="1:120" s="163" customFormat="1" ht="15" thickBot="1">
      <c r="B125" s="10">
        <v>26</v>
      </c>
      <c r="C125" s="148">
        <v>0</v>
      </c>
      <c r="D125" s="159">
        <v>0</v>
      </c>
      <c r="E125" s="149">
        <f t="shared" si="16"/>
        <v>0</v>
      </c>
      <c r="F125" s="148">
        <v>0</v>
      </c>
      <c r="G125" s="159">
        <v>0</v>
      </c>
      <c r="H125" s="148"/>
      <c r="I125" s="141"/>
      <c r="J125" s="141"/>
      <c r="K125" s="142"/>
    </row>
    <row r="126" spans="1:120" s="163" customFormat="1" ht="15" thickBot="1">
      <c r="B126" s="10">
        <v>27</v>
      </c>
      <c r="C126" s="148"/>
      <c r="D126" s="159">
        <v>35</v>
      </c>
      <c r="E126" s="149">
        <f t="shared" si="16"/>
        <v>35</v>
      </c>
      <c r="F126" s="148">
        <v>236</v>
      </c>
      <c r="G126" s="159">
        <v>1080</v>
      </c>
      <c r="H126" s="148"/>
      <c r="I126" s="141"/>
      <c r="J126" s="141"/>
      <c r="K126" s="142"/>
    </row>
    <row r="127" spans="1:120" s="163" customFormat="1" ht="15" thickBot="1">
      <c r="B127" s="10">
        <v>28</v>
      </c>
      <c r="C127" s="148">
        <v>0</v>
      </c>
      <c r="D127" s="159">
        <v>0</v>
      </c>
      <c r="E127" s="149">
        <f t="shared" si="16"/>
        <v>0</v>
      </c>
      <c r="F127" s="148">
        <v>0</v>
      </c>
      <c r="G127" s="159">
        <v>0</v>
      </c>
      <c r="H127" s="148"/>
      <c r="I127" s="141"/>
      <c r="J127" s="141"/>
      <c r="K127" s="142"/>
    </row>
    <row r="128" spans="1:120" s="163" customFormat="1" ht="15" thickBot="1">
      <c r="B128" s="10">
        <v>29</v>
      </c>
      <c r="C128" s="148"/>
      <c r="D128" s="159">
        <v>4</v>
      </c>
      <c r="E128" s="149">
        <f t="shared" si="16"/>
        <v>4</v>
      </c>
      <c r="F128" s="148">
        <v>0</v>
      </c>
      <c r="G128" s="159">
        <v>380</v>
      </c>
      <c r="H128" s="148"/>
      <c r="I128" s="141"/>
      <c r="J128" s="141"/>
      <c r="K128" s="142"/>
    </row>
    <row r="129" spans="2:11" s="163" customFormat="1" ht="15" thickBot="1">
      <c r="B129" s="10">
        <v>30</v>
      </c>
      <c r="C129" s="148">
        <v>0</v>
      </c>
      <c r="D129" s="159">
        <v>0</v>
      </c>
      <c r="E129" s="149">
        <f t="shared" si="16"/>
        <v>0</v>
      </c>
      <c r="F129" s="148">
        <v>0</v>
      </c>
      <c r="G129" s="159">
        <v>0</v>
      </c>
      <c r="H129" s="148"/>
      <c r="I129" s="141"/>
      <c r="J129" s="141"/>
      <c r="K129" s="142"/>
    </row>
    <row r="130" spans="2:11" s="163" customFormat="1" ht="15" thickBot="1">
      <c r="B130" s="10">
        <v>31</v>
      </c>
      <c r="C130" s="148">
        <v>7</v>
      </c>
      <c r="D130" s="159">
        <v>18</v>
      </c>
      <c r="E130" s="149">
        <f t="shared" si="16"/>
        <v>25</v>
      </c>
      <c r="F130" s="148">
        <v>564</v>
      </c>
      <c r="G130" s="159">
        <v>1201</v>
      </c>
      <c r="H130" s="148"/>
      <c r="I130" s="141"/>
      <c r="J130" s="141"/>
      <c r="K130" s="142"/>
    </row>
    <row r="131" spans="2:11" s="163" customFormat="1" ht="15" thickBot="1">
      <c r="B131" s="10">
        <v>32</v>
      </c>
      <c r="C131" s="148">
        <v>0</v>
      </c>
      <c r="D131" s="159">
        <v>0</v>
      </c>
      <c r="E131" s="149">
        <f t="shared" si="16"/>
        <v>0</v>
      </c>
      <c r="F131" s="148">
        <v>0</v>
      </c>
      <c r="G131" s="159">
        <v>241</v>
      </c>
      <c r="H131" s="148"/>
      <c r="I131" s="141"/>
      <c r="J131" s="141"/>
      <c r="K131" s="142"/>
    </row>
    <row r="132" spans="2:11" s="163" customFormat="1" ht="15" thickBot="1">
      <c r="B132" s="10">
        <v>33</v>
      </c>
      <c r="C132" s="148">
        <v>9</v>
      </c>
      <c r="D132" s="159">
        <v>15</v>
      </c>
      <c r="E132" s="149">
        <f t="shared" si="16"/>
        <v>24</v>
      </c>
      <c r="F132" s="148">
        <v>2936</v>
      </c>
      <c r="G132" s="159">
        <v>2699</v>
      </c>
      <c r="H132" s="148"/>
      <c r="I132" s="141"/>
      <c r="J132" s="141"/>
      <c r="K132" s="142"/>
    </row>
    <row r="133" spans="2:11" s="163" customFormat="1" ht="15" thickBot="1">
      <c r="B133" s="10">
        <v>34</v>
      </c>
      <c r="C133" s="148">
        <v>22</v>
      </c>
      <c r="D133" s="159">
        <v>24</v>
      </c>
      <c r="E133" s="149">
        <f t="shared" si="16"/>
        <v>46</v>
      </c>
      <c r="F133" s="148">
        <v>1503</v>
      </c>
      <c r="G133" s="159">
        <v>5657</v>
      </c>
      <c r="H133" s="148"/>
      <c r="I133" s="141"/>
      <c r="J133" s="141"/>
      <c r="K133" s="142"/>
    </row>
    <row r="134" spans="2:11" s="163" customFormat="1" ht="15" thickBot="1">
      <c r="B134" s="10">
        <v>35</v>
      </c>
      <c r="C134" s="148"/>
      <c r="D134" s="159">
        <v>13</v>
      </c>
      <c r="E134" s="149">
        <f t="shared" si="16"/>
        <v>13</v>
      </c>
      <c r="F134" s="148">
        <v>480</v>
      </c>
      <c r="G134" s="159">
        <v>468</v>
      </c>
      <c r="H134" s="148"/>
      <c r="I134" s="141"/>
      <c r="J134" s="141"/>
      <c r="K134" s="142"/>
    </row>
    <row r="135" spans="2:11" s="163" customFormat="1" ht="15" thickBot="1">
      <c r="B135" s="10">
        <v>36</v>
      </c>
      <c r="C135" s="148">
        <v>9</v>
      </c>
      <c r="D135" s="159">
        <v>25</v>
      </c>
      <c r="E135" s="149">
        <f t="shared" si="16"/>
        <v>34</v>
      </c>
      <c r="F135" s="148">
        <v>324</v>
      </c>
      <c r="G135" s="159">
        <v>3484</v>
      </c>
      <c r="H135" s="148"/>
      <c r="I135" s="141"/>
      <c r="J135" s="141"/>
      <c r="K135" s="142"/>
    </row>
    <row r="136" spans="2:11" s="163" customFormat="1" ht="15" thickBot="1">
      <c r="B136" s="10">
        <v>37</v>
      </c>
      <c r="C136" s="148">
        <v>25</v>
      </c>
      <c r="D136" s="159">
        <v>18</v>
      </c>
      <c r="E136" s="149">
        <f t="shared" si="16"/>
        <v>43</v>
      </c>
      <c r="F136" s="148">
        <v>5235</v>
      </c>
      <c r="G136" s="159">
        <v>3725</v>
      </c>
      <c r="H136" s="148"/>
      <c r="I136" s="141"/>
      <c r="J136" s="141"/>
      <c r="K136" s="142"/>
    </row>
    <row r="137" spans="2:11" s="163" customFormat="1" ht="15" thickBot="1">
      <c r="B137" s="10">
        <v>38</v>
      </c>
      <c r="C137" s="148">
        <v>12</v>
      </c>
      <c r="D137" s="159">
        <v>8</v>
      </c>
      <c r="E137" s="149">
        <f t="shared" si="16"/>
        <v>20</v>
      </c>
      <c r="F137" s="148">
        <v>1580</v>
      </c>
      <c r="G137" s="159">
        <v>5760</v>
      </c>
      <c r="H137" s="148"/>
      <c r="I137" s="141"/>
      <c r="J137" s="141"/>
      <c r="K137" s="142"/>
    </row>
    <row r="138" spans="2:11" s="163" customFormat="1" ht="15" thickBot="1">
      <c r="B138" s="10">
        <v>39</v>
      </c>
      <c r="C138" s="148">
        <v>26</v>
      </c>
      <c r="D138" s="159">
        <v>49</v>
      </c>
      <c r="E138" s="149">
        <f t="shared" si="16"/>
        <v>75</v>
      </c>
      <c r="F138" s="148">
        <v>3685</v>
      </c>
      <c r="G138" s="159">
        <v>9715</v>
      </c>
      <c r="H138" s="148"/>
      <c r="I138" s="141"/>
      <c r="J138" s="141"/>
      <c r="K138" s="142"/>
    </row>
    <row r="139" spans="2:11" s="163" customFormat="1" ht="15" thickBot="1">
      <c r="B139" s="10">
        <v>40</v>
      </c>
      <c r="C139" s="148">
        <v>24</v>
      </c>
      <c r="D139" s="159">
        <v>24</v>
      </c>
      <c r="E139" s="149">
        <f t="shared" si="16"/>
        <v>48</v>
      </c>
      <c r="F139" s="148">
        <v>2785</v>
      </c>
      <c r="G139" s="159">
        <v>5591</v>
      </c>
      <c r="H139" s="148"/>
      <c r="I139" s="141"/>
      <c r="J139" s="141"/>
      <c r="K139" s="142"/>
    </row>
    <row r="140" spans="2:11" s="163" customFormat="1" ht="15" thickBot="1">
      <c r="B140" s="10">
        <v>41</v>
      </c>
      <c r="C140" s="148">
        <v>12</v>
      </c>
      <c r="D140" s="159">
        <v>45</v>
      </c>
      <c r="E140" s="149">
        <f t="shared" si="16"/>
        <v>57</v>
      </c>
      <c r="F140" s="148">
        <v>1428</v>
      </c>
      <c r="G140" s="159">
        <v>2880</v>
      </c>
      <c r="H140" s="148"/>
      <c r="I140" s="141"/>
      <c r="J140" s="141"/>
      <c r="K140" s="142"/>
    </row>
    <row r="141" spans="2:11" s="163" customFormat="1" ht="15" thickBot="1">
      <c r="B141" s="10">
        <v>42</v>
      </c>
      <c r="C141" s="148">
        <v>0</v>
      </c>
      <c r="D141" s="159">
        <v>0</v>
      </c>
      <c r="E141" s="149">
        <f t="shared" si="16"/>
        <v>0</v>
      </c>
      <c r="F141" s="148">
        <v>0</v>
      </c>
      <c r="G141" s="159">
        <v>0</v>
      </c>
      <c r="H141" s="148"/>
      <c r="I141" s="141"/>
      <c r="J141" s="141"/>
      <c r="K141" s="142"/>
    </row>
    <row r="142" spans="2:11" s="163" customFormat="1" ht="15" thickBot="1">
      <c r="B142" s="10">
        <v>43</v>
      </c>
      <c r="C142" s="148">
        <v>12</v>
      </c>
      <c r="D142" s="159">
        <v>13</v>
      </c>
      <c r="E142" s="149">
        <f t="shared" si="16"/>
        <v>25</v>
      </c>
      <c r="F142" s="148">
        <v>190</v>
      </c>
      <c r="G142" s="159">
        <v>220</v>
      </c>
      <c r="H142" s="148"/>
      <c r="I142" s="141"/>
      <c r="J142" s="141"/>
      <c r="K142" s="142"/>
    </row>
    <row r="143" spans="2:11" s="163" customFormat="1" ht="15" thickBot="1">
      <c r="B143" s="10">
        <v>44</v>
      </c>
      <c r="C143" s="148">
        <v>71</v>
      </c>
      <c r="D143" s="159">
        <v>18</v>
      </c>
      <c r="E143" s="149">
        <f t="shared" si="16"/>
        <v>89</v>
      </c>
      <c r="F143" s="148">
        <v>10005</v>
      </c>
      <c r="G143" s="159">
        <v>3105</v>
      </c>
      <c r="H143" s="148"/>
      <c r="I143" s="141"/>
      <c r="J143" s="141"/>
      <c r="K143" s="142"/>
    </row>
    <row r="144" spans="2:11" s="163" customFormat="1" ht="15" thickBot="1">
      <c r="B144" s="10">
        <v>45</v>
      </c>
      <c r="C144" s="148">
        <v>4</v>
      </c>
      <c r="D144" s="159">
        <v>57</v>
      </c>
      <c r="E144" s="149">
        <f t="shared" si="16"/>
        <v>61</v>
      </c>
      <c r="F144" s="148">
        <v>5074</v>
      </c>
      <c r="G144" s="159">
        <v>8854</v>
      </c>
      <c r="H144" s="148"/>
      <c r="I144" s="141"/>
      <c r="J144" s="141"/>
      <c r="K144" s="142"/>
    </row>
    <row r="145" spans="2:11" s="163" customFormat="1" ht="15" thickBot="1">
      <c r="B145" s="10">
        <v>46</v>
      </c>
      <c r="C145" s="148">
        <v>5</v>
      </c>
      <c r="D145" s="159">
        <v>16</v>
      </c>
      <c r="E145" s="149">
        <f t="shared" si="16"/>
        <v>21</v>
      </c>
      <c r="F145" s="148">
        <v>4020</v>
      </c>
      <c r="G145" s="159">
        <v>6600</v>
      </c>
      <c r="H145" s="148"/>
      <c r="I145" s="141"/>
      <c r="J145" s="141"/>
      <c r="K145" s="142"/>
    </row>
    <row r="146" spans="2:11" s="163" customFormat="1" ht="15" thickBot="1">
      <c r="B146" s="10">
        <v>47</v>
      </c>
      <c r="C146" s="148">
        <v>16</v>
      </c>
      <c r="D146" s="159">
        <v>45</v>
      </c>
      <c r="E146" s="149">
        <f t="shared" si="16"/>
        <v>61</v>
      </c>
      <c r="F146" s="148">
        <v>7470</v>
      </c>
      <c r="G146" s="159">
        <v>4410</v>
      </c>
      <c r="H146" s="148"/>
      <c r="I146" s="141"/>
      <c r="J146" s="141"/>
      <c r="K146" s="142"/>
    </row>
    <row r="147" spans="2:11" s="163" customFormat="1" ht="15" thickBot="1">
      <c r="B147" s="10">
        <v>48</v>
      </c>
      <c r="C147" s="148">
        <v>8</v>
      </c>
      <c r="D147" s="159">
        <v>26</v>
      </c>
      <c r="E147" s="149">
        <f t="shared" si="16"/>
        <v>34</v>
      </c>
      <c r="F147" s="148">
        <v>6030</v>
      </c>
      <c r="G147" s="159">
        <v>2880</v>
      </c>
      <c r="H147" s="148"/>
      <c r="I147" s="141"/>
      <c r="J147" s="141"/>
      <c r="K147" s="142"/>
    </row>
    <row r="148" spans="2:11" s="163" customFormat="1" ht="15" thickBot="1">
      <c r="B148" s="10">
        <v>49</v>
      </c>
      <c r="C148" s="148">
        <v>0</v>
      </c>
      <c r="D148" s="159">
        <v>0</v>
      </c>
      <c r="E148" s="149">
        <f t="shared" si="16"/>
        <v>0</v>
      </c>
      <c r="F148" s="148">
        <v>0</v>
      </c>
      <c r="G148" s="159">
        <v>0</v>
      </c>
      <c r="H148" s="148"/>
      <c r="I148" s="141"/>
      <c r="J148" s="141"/>
      <c r="K148" s="142"/>
    </row>
    <row r="149" spans="2:11" s="163" customFormat="1" ht="15" thickBot="1">
      <c r="B149" s="10">
        <v>50</v>
      </c>
      <c r="C149" s="148">
        <v>0</v>
      </c>
      <c r="D149" s="159">
        <v>0</v>
      </c>
      <c r="E149" s="149">
        <f t="shared" si="16"/>
        <v>0</v>
      </c>
      <c r="F149" s="148">
        <v>0</v>
      </c>
      <c r="G149" s="159">
        <v>0</v>
      </c>
      <c r="H149" s="148"/>
      <c r="I149" s="141"/>
      <c r="J149" s="141"/>
      <c r="K149" s="142"/>
    </row>
    <row r="150" spans="2:11" s="163" customFormat="1" ht="15" thickBot="1">
      <c r="B150" s="10">
        <v>51</v>
      </c>
      <c r="C150" s="148">
        <v>0</v>
      </c>
      <c r="D150" s="159">
        <v>0</v>
      </c>
      <c r="E150" s="149">
        <f t="shared" si="16"/>
        <v>0</v>
      </c>
      <c r="F150" s="148">
        <v>0</v>
      </c>
      <c r="G150" s="159">
        <v>0</v>
      </c>
      <c r="H150" s="148"/>
      <c r="I150" s="141"/>
      <c r="J150" s="141"/>
      <c r="K150" s="142"/>
    </row>
    <row r="151" spans="2:11" s="163" customFormat="1" ht="15" thickBot="1">
      <c r="B151" s="10">
        <v>52</v>
      </c>
      <c r="C151" s="148">
        <v>0</v>
      </c>
      <c r="D151" s="159">
        <v>0</v>
      </c>
      <c r="E151" s="149">
        <f t="shared" si="16"/>
        <v>0</v>
      </c>
      <c r="F151" s="148">
        <v>0</v>
      </c>
      <c r="G151" s="159">
        <v>0</v>
      </c>
      <c r="H151" s="148"/>
      <c r="I151" s="141"/>
      <c r="J151" s="141"/>
      <c r="K151" s="142"/>
    </row>
    <row r="152" spans="2:11" s="163" customFormat="1" ht="15" thickBot="1">
      <c r="B152" s="10">
        <v>53</v>
      </c>
      <c r="C152" s="148">
        <v>44</v>
      </c>
      <c r="D152" s="159">
        <v>39</v>
      </c>
      <c r="E152" s="149">
        <f t="shared" si="16"/>
        <v>83</v>
      </c>
      <c r="F152" s="148">
        <v>1948</v>
      </c>
      <c r="G152" s="159">
        <v>5037</v>
      </c>
      <c r="H152" s="148"/>
      <c r="I152" s="141"/>
      <c r="J152" s="141"/>
      <c r="K152" s="142"/>
    </row>
    <row r="153" spans="2:11" s="163" customFormat="1" ht="15" thickBot="1">
      <c r="B153" s="10">
        <v>54</v>
      </c>
      <c r="C153" s="148">
        <v>121</v>
      </c>
      <c r="D153" s="159">
        <v>128</v>
      </c>
      <c r="E153" s="149">
        <f t="shared" si="16"/>
        <v>249</v>
      </c>
      <c r="F153" s="148">
        <v>5756</v>
      </c>
      <c r="G153" s="159">
        <v>5737</v>
      </c>
      <c r="H153" s="148"/>
      <c r="I153" s="141"/>
      <c r="J153" s="141"/>
      <c r="K153" s="142"/>
    </row>
    <row r="154" spans="2:11" s="163" customFormat="1" ht="15" thickBot="1">
      <c r="B154" s="10">
        <v>55</v>
      </c>
      <c r="C154" s="148"/>
      <c r="D154" s="159">
        <v>4</v>
      </c>
      <c r="E154" s="149">
        <f t="shared" si="16"/>
        <v>4</v>
      </c>
      <c r="F154" s="148">
        <v>180</v>
      </c>
      <c r="G154" s="159">
        <v>1588</v>
      </c>
      <c r="H154" s="148"/>
      <c r="I154" s="141"/>
      <c r="J154" s="141"/>
      <c r="K154" s="142"/>
    </row>
    <row r="155" spans="2:11" s="163" customFormat="1" ht="15" thickBot="1">
      <c r="B155" s="10">
        <v>56</v>
      </c>
      <c r="C155" s="148">
        <v>48</v>
      </c>
      <c r="D155" s="159">
        <v>169</v>
      </c>
      <c r="E155" s="149">
        <f t="shared" si="16"/>
        <v>217</v>
      </c>
      <c r="F155" s="148">
        <v>3955</v>
      </c>
      <c r="G155" s="159">
        <v>12160</v>
      </c>
      <c r="H155" s="148"/>
      <c r="I155" s="141"/>
      <c r="J155" s="141"/>
      <c r="K155" s="142"/>
    </row>
    <row r="156" spans="2:11" s="163" customFormat="1" ht="15" thickBot="1">
      <c r="B156" s="10">
        <v>57</v>
      </c>
      <c r="C156" s="148">
        <v>0</v>
      </c>
      <c r="D156" s="159">
        <v>0</v>
      </c>
      <c r="E156" s="149">
        <f t="shared" si="16"/>
        <v>0</v>
      </c>
      <c r="F156" s="148">
        <v>0</v>
      </c>
      <c r="G156" s="159">
        <v>0</v>
      </c>
      <c r="H156" s="148"/>
      <c r="I156" s="141"/>
      <c r="J156" s="141"/>
      <c r="K156" s="142"/>
    </row>
    <row r="157" spans="2:11" s="163" customFormat="1" ht="15" thickBot="1">
      <c r="B157" s="10">
        <v>58</v>
      </c>
      <c r="C157" s="148">
        <v>0</v>
      </c>
      <c r="D157" s="159">
        <v>0</v>
      </c>
      <c r="E157" s="149">
        <f t="shared" si="16"/>
        <v>0</v>
      </c>
      <c r="F157" s="148">
        <v>0</v>
      </c>
      <c r="G157" s="159">
        <v>0</v>
      </c>
      <c r="H157" s="148"/>
      <c r="I157" s="141"/>
      <c r="J157" s="141"/>
      <c r="K157" s="142"/>
    </row>
    <row r="158" spans="2:11" s="163" customFormat="1" ht="15" thickBot="1">
      <c r="B158" s="10">
        <v>59</v>
      </c>
      <c r="C158" s="148">
        <v>55</v>
      </c>
      <c r="D158" s="159">
        <v>78</v>
      </c>
      <c r="E158" s="149">
        <f t="shared" si="16"/>
        <v>133</v>
      </c>
      <c r="F158" s="148">
        <v>1588</v>
      </c>
      <c r="G158" s="159">
        <v>1206</v>
      </c>
      <c r="H158" s="148"/>
      <c r="I158" s="141"/>
      <c r="J158" s="141"/>
      <c r="K158" s="142"/>
    </row>
    <row r="159" spans="2:11" s="163" customFormat="1" ht="15" thickBot="1">
      <c r="B159" s="10">
        <v>60</v>
      </c>
      <c r="C159" s="148">
        <v>25</v>
      </c>
      <c r="D159" s="159">
        <v>71</v>
      </c>
      <c r="E159" s="149">
        <f t="shared" si="16"/>
        <v>96</v>
      </c>
      <c r="F159" s="148">
        <v>180</v>
      </c>
      <c r="G159" s="159">
        <v>2833</v>
      </c>
      <c r="H159" s="148"/>
      <c r="I159" s="141"/>
      <c r="J159" s="141"/>
      <c r="K159" s="142"/>
    </row>
    <row r="160" spans="2:11" s="163" customFormat="1" ht="15" thickBot="1">
      <c r="B160" s="10">
        <v>61</v>
      </c>
      <c r="C160" s="148">
        <v>47</v>
      </c>
      <c r="D160" s="159">
        <v>95</v>
      </c>
      <c r="E160" s="149">
        <f t="shared" si="16"/>
        <v>142</v>
      </c>
      <c r="F160" s="148">
        <v>5310</v>
      </c>
      <c r="G160" s="159">
        <v>5310</v>
      </c>
      <c r="H160" s="148"/>
      <c r="I160" s="141"/>
      <c r="J160" s="141"/>
      <c r="K160" s="142"/>
    </row>
    <row r="161" spans="1:120" s="163" customFormat="1" ht="15" thickBot="1">
      <c r="B161" s="10">
        <v>62</v>
      </c>
      <c r="C161" s="148">
        <v>45</v>
      </c>
      <c r="D161" s="159">
        <v>60</v>
      </c>
      <c r="E161" s="149">
        <f t="shared" si="16"/>
        <v>105</v>
      </c>
      <c r="F161" s="148">
        <v>5670</v>
      </c>
      <c r="G161" s="159">
        <v>9690</v>
      </c>
      <c r="H161" s="148"/>
      <c r="I161" s="141"/>
      <c r="J161" s="141"/>
      <c r="K161" s="142"/>
    </row>
    <row r="162" spans="1:120" s="163" customFormat="1" ht="15" thickBot="1">
      <c r="B162" s="10">
        <v>63</v>
      </c>
      <c r="C162" s="148">
        <v>28</v>
      </c>
      <c r="D162" s="159">
        <v>45</v>
      </c>
      <c r="E162" s="149">
        <f t="shared" si="16"/>
        <v>73</v>
      </c>
      <c r="F162" s="148">
        <v>8445</v>
      </c>
      <c r="G162" s="159">
        <v>10065</v>
      </c>
      <c r="H162" s="148"/>
      <c r="I162" s="141"/>
      <c r="J162" s="141"/>
      <c r="K162" s="142"/>
    </row>
    <row r="163" spans="1:120" s="163" customFormat="1" ht="15" thickBot="1">
      <c r="B163" s="10">
        <v>64</v>
      </c>
      <c r="C163" s="148">
        <v>64</v>
      </c>
      <c r="D163" s="159">
        <v>67</v>
      </c>
      <c r="E163" s="149">
        <f t="shared" si="16"/>
        <v>131</v>
      </c>
      <c r="F163" s="148">
        <v>7121</v>
      </c>
      <c r="G163" s="159">
        <v>12327</v>
      </c>
      <c r="H163" s="148"/>
      <c r="I163" s="141"/>
      <c r="J163" s="141"/>
      <c r="K163" s="142"/>
    </row>
    <row r="164" spans="1:120" s="163" customFormat="1" ht="15" thickBot="1">
      <c r="B164" s="10">
        <v>65</v>
      </c>
      <c r="C164" s="148">
        <v>13</v>
      </c>
      <c r="D164" s="159">
        <v>97</v>
      </c>
      <c r="E164" s="149">
        <f t="shared" si="16"/>
        <v>110</v>
      </c>
      <c r="F164" s="148">
        <v>9720</v>
      </c>
      <c r="G164" s="159">
        <v>10440</v>
      </c>
      <c r="H164" s="148"/>
      <c r="I164" s="141"/>
      <c r="J164" s="141"/>
      <c r="K164" s="142"/>
    </row>
    <row r="165" spans="1:120" s="163" customFormat="1" ht="15" thickBot="1">
      <c r="B165" s="10">
        <v>66</v>
      </c>
      <c r="C165" s="148">
        <v>17</v>
      </c>
      <c r="D165" s="159">
        <v>73</v>
      </c>
      <c r="E165" s="149">
        <f t="shared" si="16"/>
        <v>90</v>
      </c>
      <c r="F165" s="148">
        <v>3120</v>
      </c>
      <c r="G165" s="159">
        <v>8850</v>
      </c>
      <c r="H165" s="148"/>
      <c r="I165" s="141"/>
      <c r="J165" s="141"/>
      <c r="K165" s="142"/>
    </row>
    <row r="166" spans="1:120" s="163" customFormat="1" ht="15" thickBot="1">
      <c r="B166" s="10">
        <v>67</v>
      </c>
      <c r="C166" s="148">
        <v>22</v>
      </c>
      <c r="D166" s="159">
        <v>58</v>
      </c>
      <c r="E166" s="149">
        <f t="shared" si="16"/>
        <v>80</v>
      </c>
      <c r="F166" s="148">
        <v>2925</v>
      </c>
      <c r="G166" s="159">
        <v>4605</v>
      </c>
      <c r="H166" s="148"/>
      <c r="I166" s="141"/>
      <c r="J166" s="141"/>
      <c r="K166" s="142"/>
    </row>
    <row r="167" spans="1:120" s="163" customFormat="1" ht="15" thickBot="1">
      <c r="B167" s="10">
        <v>68</v>
      </c>
      <c r="C167" s="148">
        <v>14</v>
      </c>
      <c r="D167" s="159">
        <v>37</v>
      </c>
      <c r="E167" s="149">
        <f t="shared" si="16"/>
        <v>51</v>
      </c>
      <c r="F167" s="148">
        <v>3833</v>
      </c>
      <c r="G167" s="159">
        <v>7875</v>
      </c>
      <c r="H167" s="148"/>
      <c r="I167" s="141"/>
      <c r="J167" s="141"/>
      <c r="K167" s="142"/>
    </row>
    <row r="168" spans="1:120" s="163" customFormat="1" ht="15" thickBot="1">
      <c r="B168" s="10">
        <v>69</v>
      </c>
      <c r="C168" s="148">
        <v>24</v>
      </c>
      <c r="D168" s="159">
        <v>53</v>
      </c>
      <c r="E168" s="149">
        <f t="shared" si="16"/>
        <v>77</v>
      </c>
      <c r="F168" s="148">
        <v>4155</v>
      </c>
      <c r="G168" s="159">
        <v>4373</v>
      </c>
      <c r="H168" s="148"/>
      <c r="I168" s="141"/>
      <c r="J168" s="141"/>
      <c r="K168" s="142"/>
    </row>
    <row r="169" spans="1:120" s="163" customFormat="1" ht="15" thickBot="1">
      <c r="B169" s="10">
        <v>70</v>
      </c>
      <c r="C169" s="148">
        <v>0</v>
      </c>
      <c r="D169" s="159">
        <v>0</v>
      </c>
      <c r="E169" s="149">
        <f t="shared" si="16"/>
        <v>0</v>
      </c>
      <c r="F169" s="148">
        <v>0</v>
      </c>
      <c r="G169" s="159">
        <v>0</v>
      </c>
      <c r="H169" s="148"/>
      <c r="I169" s="141"/>
      <c r="J169" s="141"/>
      <c r="K169" s="142"/>
    </row>
    <row r="170" spans="1:120" s="163" customFormat="1" ht="15" thickBot="1">
      <c r="B170" s="10">
        <v>71</v>
      </c>
      <c r="C170" s="148">
        <v>0</v>
      </c>
      <c r="D170" s="159">
        <v>0</v>
      </c>
      <c r="E170" s="149">
        <f t="shared" si="16"/>
        <v>0</v>
      </c>
      <c r="F170" s="148">
        <v>0</v>
      </c>
      <c r="G170" s="159">
        <v>0</v>
      </c>
      <c r="H170" s="148"/>
      <c r="I170" s="141"/>
      <c r="J170" s="141"/>
      <c r="K170" s="142"/>
    </row>
    <row r="171" spans="1:120" s="163" customFormat="1" ht="15" thickBot="1">
      <c r="B171" s="10">
        <v>72</v>
      </c>
      <c r="C171" s="148">
        <v>24</v>
      </c>
      <c r="D171" s="159">
        <v>26</v>
      </c>
      <c r="E171" s="149">
        <f t="shared" si="16"/>
        <v>50</v>
      </c>
      <c r="F171" s="148">
        <v>2430</v>
      </c>
      <c r="G171" s="159">
        <v>2430</v>
      </c>
      <c r="H171" s="148"/>
      <c r="I171" s="141"/>
      <c r="J171" s="141"/>
      <c r="K171" s="142"/>
    </row>
    <row r="172" spans="1:120" s="163" customFormat="1" ht="15" thickBot="1">
      <c r="B172" s="10">
        <v>73</v>
      </c>
      <c r="C172" s="148">
        <v>0</v>
      </c>
      <c r="D172" s="159">
        <v>0</v>
      </c>
      <c r="E172" s="149">
        <f t="shared" si="16"/>
        <v>0</v>
      </c>
      <c r="F172" s="148">
        <v>0</v>
      </c>
      <c r="G172" s="159">
        <v>0</v>
      </c>
      <c r="H172" s="148"/>
      <c r="I172" s="141"/>
      <c r="J172" s="141"/>
      <c r="K172" s="142"/>
    </row>
    <row r="173" spans="1:120" s="163" customFormat="1" ht="15" thickBot="1">
      <c r="B173" s="10">
        <v>74</v>
      </c>
      <c r="C173" s="148">
        <v>4</v>
      </c>
      <c r="D173" s="159">
        <v>0</v>
      </c>
      <c r="E173" s="149">
        <f t="shared" si="16"/>
        <v>4</v>
      </c>
      <c r="F173" s="148">
        <v>55</v>
      </c>
      <c r="G173" s="159">
        <v>55</v>
      </c>
      <c r="H173" s="148"/>
      <c r="I173" s="141"/>
      <c r="J173" s="141"/>
      <c r="K173" s="142"/>
    </row>
    <row r="174" spans="1:120" s="163" customFormat="1" ht="15" thickBot="1">
      <c r="B174" s="10">
        <v>75</v>
      </c>
      <c r="C174" s="148">
        <v>0</v>
      </c>
      <c r="D174" s="159">
        <v>0</v>
      </c>
      <c r="E174" s="149">
        <f t="shared" si="16"/>
        <v>0</v>
      </c>
      <c r="F174" s="148">
        <v>0</v>
      </c>
      <c r="G174" s="159">
        <v>0</v>
      </c>
      <c r="H174" s="148"/>
      <c r="I174" s="141"/>
      <c r="J174" s="141"/>
      <c r="K174" s="142"/>
    </row>
    <row r="175" spans="1:120" s="32" customFormat="1" ht="15" thickBot="1">
      <c r="A175" s="1"/>
      <c r="B175" s="10">
        <v>76</v>
      </c>
      <c r="C175" s="148">
        <v>0</v>
      </c>
      <c r="D175" s="159">
        <v>0</v>
      </c>
      <c r="E175" s="149">
        <f t="shared" si="16"/>
        <v>0</v>
      </c>
      <c r="F175" s="148">
        <v>0</v>
      </c>
      <c r="G175" s="159">
        <v>0</v>
      </c>
      <c r="H175" s="135">
        <f t="shared" si="17"/>
        <v>0</v>
      </c>
      <c r="I175" s="141">
        <f t="shared" si="13"/>
        <v>0</v>
      </c>
      <c r="J175" s="141">
        <f t="shared" si="14"/>
        <v>0</v>
      </c>
      <c r="K175" s="142">
        <f t="shared" si="15"/>
        <v>0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</row>
    <row r="176" spans="1:120" s="32" customFormat="1" ht="15" thickBot="1">
      <c r="A176" s="1"/>
      <c r="B176" s="10">
        <v>77</v>
      </c>
      <c r="C176" s="148">
        <v>0</v>
      </c>
      <c r="D176" s="159">
        <v>0</v>
      </c>
      <c r="E176" s="149">
        <f t="shared" si="16"/>
        <v>0</v>
      </c>
      <c r="F176" s="148">
        <v>0</v>
      </c>
      <c r="G176" s="159">
        <v>0</v>
      </c>
      <c r="H176" s="135">
        <f t="shared" si="17"/>
        <v>0</v>
      </c>
      <c r="I176" s="141">
        <f t="shared" si="13"/>
        <v>0</v>
      </c>
      <c r="J176" s="141">
        <f t="shared" si="14"/>
        <v>0</v>
      </c>
      <c r="K176" s="142">
        <f t="shared" si="15"/>
        <v>0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</row>
    <row r="177" spans="1:120" s="32" customFormat="1" ht="15" thickBot="1">
      <c r="A177" s="1"/>
      <c r="B177" s="10">
        <v>78</v>
      </c>
      <c r="C177" s="148">
        <v>0</v>
      </c>
      <c r="D177" s="159">
        <v>0</v>
      </c>
      <c r="E177" s="149">
        <f t="shared" si="16"/>
        <v>0</v>
      </c>
      <c r="F177" s="148">
        <v>0</v>
      </c>
      <c r="G177" s="159">
        <v>0</v>
      </c>
      <c r="H177" s="135">
        <f t="shared" si="17"/>
        <v>0</v>
      </c>
      <c r="I177" s="141">
        <f t="shared" si="13"/>
        <v>0</v>
      </c>
      <c r="J177" s="141">
        <f t="shared" si="14"/>
        <v>0</v>
      </c>
      <c r="K177" s="142">
        <f t="shared" si="15"/>
        <v>0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</row>
    <row r="178" spans="1:120" s="32" customFormat="1" ht="15" thickBot="1">
      <c r="A178" s="1"/>
      <c r="B178" s="10">
        <v>79</v>
      </c>
      <c r="C178" s="148">
        <v>0</v>
      </c>
      <c r="D178" s="159">
        <v>0</v>
      </c>
      <c r="E178" s="149">
        <f t="shared" si="16"/>
        <v>0</v>
      </c>
      <c r="F178" s="148">
        <v>0</v>
      </c>
      <c r="G178" s="159">
        <v>0</v>
      </c>
      <c r="H178" s="135">
        <f t="shared" si="17"/>
        <v>0</v>
      </c>
      <c r="I178" s="141">
        <f t="shared" si="13"/>
        <v>0</v>
      </c>
      <c r="J178" s="141">
        <f t="shared" si="14"/>
        <v>0</v>
      </c>
      <c r="K178" s="142">
        <f t="shared" si="15"/>
        <v>0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</row>
    <row r="179" spans="1:120" s="32" customFormat="1" ht="15" thickBot="1">
      <c r="A179" s="1"/>
      <c r="B179" s="10">
        <v>80</v>
      </c>
      <c r="C179" s="148">
        <v>0</v>
      </c>
      <c r="D179" s="159">
        <v>0</v>
      </c>
      <c r="E179" s="149">
        <f t="shared" si="16"/>
        <v>0</v>
      </c>
      <c r="F179" s="148">
        <v>0</v>
      </c>
      <c r="G179" s="159">
        <v>0</v>
      </c>
      <c r="H179" s="135">
        <f t="shared" si="17"/>
        <v>0</v>
      </c>
      <c r="I179" s="141">
        <f t="shared" si="13"/>
        <v>0</v>
      </c>
      <c r="J179" s="141">
        <f t="shared" si="14"/>
        <v>0</v>
      </c>
      <c r="K179" s="142">
        <f t="shared" si="15"/>
        <v>0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</row>
    <row r="180" spans="1:120" s="32" customFormat="1" ht="15" thickBot="1">
      <c r="A180" s="1"/>
      <c r="B180" s="10">
        <v>81</v>
      </c>
      <c r="C180" s="148">
        <v>0</v>
      </c>
      <c r="D180" s="159">
        <v>0</v>
      </c>
      <c r="E180" s="149">
        <f t="shared" si="16"/>
        <v>0</v>
      </c>
      <c r="F180" s="148">
        <v>0</v>
      </c>
      <c r="G180" s="159">
        <v>0</v>
      </c>
      <c r="H180" s="135">
        <f t="shared" si="17"/>
        <v>0</v>
      </c>
      <c r="I180" s="141">
        <f t="shared" si="13"/>
        <v>0</v>
      </c>
      <c r="J180" s="141">
        <f t="shared" si="14"/>
        <v>0</v>
      </c>
      <c r="K180" s="142">
        <f t="shared" si="15"/>
        <v>0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</row>
    <row r="181" spans="1:120" s="32" customFormat="1" ht="15" thickBot="1">
      <c r="A181" s="1"/>
      <c r="B181" s="10">
        <v>82</v>
      </c>
      <c r="C181" s="148">
        <v>0</v>
      </c>
      <c r="D181" s="159">
        <v>0</v>
      </c>
      <c r="E181" s="149">
        <f t="shared" si="16"/>
        <v>0</v>
      </c>
      <c r="F181" s="148">
        <v>0</v>
      </c>
      <c r="G181" s="159">
        <v>0</v>
      </c>
      <c r="H181" s="135">
        <f t="shared" si="17"/>
        <v>0</v>
      </c>
      <c r="I181" s="141">
        <f t="shared" si="13"/>
        <v>0</v>
      </c>
      <c r="J181" s="141">
        <f t="shared" si="14"/>
        <v>0</v>
      </c>
      <c r="K181" s="142">
        <f t="shared" si="15"/>
        <v>0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</row>
    <row r="182" spans="1:120" s="32" customFormat="1" ht="15" thickBot="1">
      <c r="A182" s="1"/>
      <c r="B182" s="10">
        <v>83</v>
      </c>
      <c r="C182" s="148">
        <v>0</v>
      </c>
      <c r="D182" s="159">
        <v>0</v>
      </c>
      <c r="E182" s="149">
        <f t="shared" si="16"/>
        <v>0</v>
      </c>
      <c r="F182" s="148">
        <v>0</v>
      </c>
      <c r="G182" s="159">
        <v>0</v>
      </c>
      <c r="H182" s="135">
        <f t="shared" si="17"/>
        <v>0</v>
      </c>
      <c r="I182" s="141">
        <f t="shared" si="13"/>
        <v>0</v>
      </c>
      <c r="J182" s="141">
        <f t="shared" si="14"/>
        <v>0</v>
      </c>
      <c r="K182" s="142">
        <f t="shared" si="15"/>
        <v>0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</row>
    <row r="183" spans="1:120" s="32" customFormat="1" ht="15" thickBot="1">
      <c r="A183" s="1"/>
      <c r="B183" s="10">
        <v>84</v>
      </c>
      <c r="C183" s="148">
        <v>0</v>
      </c>
      <c r="D183" s="159">
        <v>0</v>
      </c>
      <c r="E183" s="149">
        <f t="shared" si="16"/>
        <v>0</v>
      </c>
      <c r="F183" s="148">
        <v>0</v>
      </c>
      <c r="G183" s="159">
        <v>0</v>
      </c>
      <c r="H183" s="135">
        <f t="shared" si="17"/>
        <v>0</v>
      </c>
      <c r="I183" s="141">
        <f t="shared" si="13"/>
        <v>0</v>
      </c>
      <c r="J183" s="141">
        <f t="shared" si="14"/>
        <v>0</v>
      </c>
      <c r="K183" s="142">
        <f t="shared" si="15"/>
        <v>0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</row>
    <row r="184" spans="1:120" s="32" customFormat="1" ht="15" thickBot="1">
      <c r="A184" s="1"/>
      <c r="B184" s="10">
        <v>85</v>
      </c>
      <c r="C184" s="148">
        <v>0</v>
      </c>
      <c r="D184" s="159">
        <v>0</v>
      </c>
      <c r="E184" s="149">
        <f t="shared" si="16"/>
        <v>0</v>
      </c>
      <c r="F184" s="148">
        <v>0</v>
      </c>
      <c r="G184" s="159">
        <v>0</v>
      </c>
      <c r="H184" s="135">
        <f t="shared" si="17"/>
        <v>0</v>
      </c>
      <c r="I184" s="141">
        <f t="shared" si="13"/>
        <v>0</v>
      </c>
      <c r="J184" s="141">
        <f t="shared" si="14"/>
        <v>0</v>
      </c>
      <c r="K184" s="142">
        <f t="shared" si="15"/>
        <v>0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</row>
    <row r="185" spans="1:120" s="32" customFormat="1" ht="15" thickBot="1">
      <c r="A185" s="1"/>
      <c r="B185" s="10">
        <v>86</v>
      </c>
      <c r="C185" s="148">
        <v>0</v>
      </c>
      <c r="D185" s="159">
        <v>0</v>
      </c>
      <c r="E185" s="149">
        <f t="shared" si="16"/>
        <v>0</v>
      </c>
      <c r="F185" s="148">
        <v>0</v>
      </c>
      <c r="G185" s="159">
        <v>0</v>
      </c>
      <c r="H185" s="135">
        <f t="shared" si="17"/>
        <v>0</v>
      </c>
      <c r="I185" s="141">
        <f t="shared" si="13"/>
        <v>0</v>
      </c>
      <c r="J185" s="141">
        <f t="shared" si="14"/>
        <v>0</v>
      </c>
      <c r="K185" s="142">
        <f t="shared" si="15"/>
        <v>0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</row>
    <row r="186" spans="1:120" s="32" customFormat="1" ht="15" thickBot="1">
      <c r="A186" s="1"/>
      <c r="B186" s="10">
        <v>87</v>
      </c>
      <c r="C186" s="148">
        <v>0</v>
      </c>
      <c r="D186" s="159">
        <v>0</v>
      </c>
      <c r="E186" s="149">
        <f t="shared" si="16"/>
        <v>0</v>
      </c>
      <c r="F186" s="148">
        <v>0</v>
      </c>
      <c r="G186" s="159">
        <v>0</v>
      </c>
      <c r="H186" s="135">
        <f t="shared" si="17"/>
        <v>0</v>
      </c>
      <c r="I186" s="141">
        <f t="shared" si="13"/>
        <v>0</v>
      </c>
      <c r="J186" s="141">
        <f t="shared" si="14"/>
        <v>0</v>
      </c>
      <c r="K186" s="142">
        <f t="shared" si="15"/>
        <v>0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</row>
    <row r="187" spans="1:120" s="32" customFormat="1" ht="15" thickBot="1">
      <c r="A187" s="1"/>
      <c r="B187" s="10">
        <v>88</v>
      </c>
      <c r="C187" s="148">
        <v>0</v>
      </c>
      <c r="D187" s="159">
        <v>0</v>
      </c>
      <c r="E187" s="149">
        <f t="shared" si="16"/>
        <v>0</v>
      </c>
      <c r="F187" s="148">
        <v>0</v>
      </c>
      <c r="G187" s="159">
        <v>0</v>
      </c>
      <c r="H187" s="135">
        <f t="shared" si="17"/>
        <v>0</v>
      </c>
      <c r="I187" s="141">
        <f t="shared" si="13"/>
        <v>0</v>
      </c>
      <c r="J187" s="141">
        <f t="shared" si="14"/>
        <v>0</v>
      </c>
      <c r="K187" s="142">
        <f t="shared" si="15"/>
        <v>0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</row>
    <row r="188" spans="1:120" s="32" customFormat="1" ht="15" thickBot="1">
      <c r="A188" s="1"/>
      <c r="B188" s="10">
        <v>89</v>
      </c>
      <c r="C188" s="148">
        <v>0</v>
      </c>
      <c r="D188" s="159">
        <v>0</v>
      </c>
      <c r="E188" s="149">
        <f t="shared" si="16"/>
        <v>0</v>
      </c>
      <c r="F188" s="148">
        <v>0</v>
      </c>
      <c r="G188" s="159">
        <v>0</v>
      </c>
      <c r="H188" s="135">
        <f t="shared" si="17"/>
        <v>0</v>
      </c>
      <c r="I188" s="141">
        <f t="shared" si="13"/>
        <v>0</v>
      </c>
      <c r="J188" s="141">
        <f t="shared" si="14"/>
        <v>0</v>
      </c>
      <c r="K188" s="142">
        <f t="shared" si="15"/>
        <v>0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</row>
    <row r="189" spans="1:120" s="32" customFormat="1" ht="15" thickBot="1">
      <c r="A189" s="1"/>
      <c r="B189" s="10">
        <v>90</v>
      </c>
      <c r="C189" s="148">
        <v>0</v>
      </c>
      <c r="D189" s="159">
        <v>0</v>
      </c>
      <c r="E189" s="149">
        <f t="shared" si="16"/>
        <v>0</v>
      </c>
      <c r="F189" s="148">
        <v>0</v>
      </c>
      <c r="G189" s="159">
        <v>0</v>
      </c>
      <c r="H189" s="135">
        <f t="shared" si="17"/>
        <v>0</v>
      </c>
      <c r="I189" s="141">
        <f t="shared" si="13"/>
        <v>0</v>
      </c>
      <c r="J189" s="141">
        <f t="shared" si="14"/>
        <v>0</v>
      </c>
      <c r="K189" s="142">
        <f t="shared" si="15"/>
        <v>0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</row>
    <row r="190" spans="1:120" s="163" customFormat="1" ht="15" thickBot="1">
      <c r="B190" s="187">
        <v>91</v>
      </c>
      <c r="C190" s="188">
        <v>117</v>
      </c>
      <c r="D190" s="188">
        <v>103</v>
      </c>
      <c r="E190" s="149">
        <f t="shared" si="16"/>
        <v>220</v>
      </c>
      <c r="F190" s="188">
        <v>0</v>
      </c>
      <c r="G190" s="188">
        <v>0</v>
      </c>
      <c r="H190" s="188"/>
      <c r="I190" s="189"/>
      <c r="J190" s="189"/>
      <c r="K190" s="190"/>
    </row>
    <row r="191" spans="1:120" s="32" customFormat="1" ht="26.4" thickBot="1">
      <c r="A191" s="1"/>
      <c r="B191" s="14" t="s">
        <v>13</v>
      </c>
      <c r="C191" s="150">
        <f>SUM(C100:C190)</f>
        <v>1737</v>
      </c>
      <c r="D191" s="150">
        <f>SUM(D100:D190)</f>
        <v>3947</v>
      </c>
      <c r="E191" s="150">
        <f>SUM(E100:E190)</f>
        <v>5684</v>
      </c>
      <c r="F191" s="15">
        <f t="shared" ref="F191:K191" si="24">SUM(F100:F189)</f>
        <v>336542</v>
      </c>
      <c r="G191" s="15">
        <f t="shared" si="24"/>
        <v>397724</v>
      </c>
      <c r="H191" s="15">
        <f t="shared" si="24"/>
        <v>435639</v>
      </c>
      <c r="I191" s="15">
        <f t="shared" si="24"/>
        <v>93527.119534096768</v>
      </c>
      <c r="J191" s="15">
        <f t="shared" si="24"/>
        <v>292777.70604371809</v>
      </c>
      <c r="K191" s="16">
        <f t="shared" si="24"/>
        <v>193532.79438599822</v>
      </c>
      <c r="M191"/>
      <c r="N19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</row>
    <row r="192" spans="1:120">
      <c r="L192"/>
      <c r="M192"/>
      <c r="N192"/>
    </row>
    <row r="193" spans="12:14" ht="187.5" customHeight="1">
      <c r="L193"/>
      <c r="M193"/>
      <c r="N193"/>
    </row>
    <row r="194" spans="12:14" s="31" customFormat="1" ht="28.8"/>
  </sheetData>
  <mergeCells count="12">
    <mergeCell ref="AH116:AK116"/>
    <mergeCell ref="AH3:AK3"/>
    <mergeCell ref="AH11:AK11"/>
    <mergeCell ref="AH19:AK19"/>
    <mergeCell ref="AH99:AK99"/>
    <mergeCell ref="AH107:AK107"/>
    <mergeCell ref="M3:P3"/>
    <mergeCell ref="M19:P19"/>
    <mergeCell ref="M11:P11"/>
    <mergeCell ref="M116:P116"/>
    <mergeCell ref="M107:P107"/>
    <mergeCell ref="M99:P99"/>
  </mergeCells>
  <conditionalFormatting sqref="D4:D94">
    <cfRule type="top10" dxfId="72" priority="4169" rank="5"/>
  </conditionalFormatting>
  <conditionalFormatting sqref="E4:E94">
    <cfRule type="top10" dxfId="71" priority="4170" rank="5"/>
  </conditionalFormatting>
  <conditionalFormatting sqref="C4:C94">
    <cfRule type="top10" dxfId="70" priority="4171" rank="5"/>
  </conditionalFormatting>
  <conditionalFormatting sqref="F4:F94">
    <cfRule type="top10" dxfId="69" priority="4172" rank="5"/>
  </conditionalFormatting>
  <conditionalFormatting sqref="G4:G94">
    <cfRule type="top10" dxfId="68" priority="4173" rank="5"/>
  </conditionalFormatting>
  <conditionalFormatting sqref="I4:I94">
    <cfRule type="top10" dxfId="67" priority="4174" rank="5"/>
  </conditionalFormatting>
  <conditionalFormatting sqref="K4:K94">
    <cfRule type="top10" dxfId="66" priority="4175" rank="5"/>
  </conditionalFormatting>
  <conditionalFormatting sqref="J4:J94">
    <cfRule type="top10" dxfId="65" priority="4176" rank="5"/>
  </conditionalFormatting>
  <conditionalFormatting sqref="H4:H94">
    <cfRule type="top10" dxfId="64" priority="4177" rank="5"/>
  </conditionalFormatting>
  <conditionalFormatting sqref="E100:K190">
    <cfRule type="top10" dxfId="63" priority="4178" rank="5"/>
    <cfRule type="top10" dxfId="62" priority="4179" rank="5"/>
    <cfRule type="top10" dxfId="61" priority="4180" rank="5"/>
  </conditionalFormatting>
  <conditionalFormatting sqref="D100:D190">
    <cfRule type="top10" dxfId="60" priority="4181" rank="5"/>
  </conditionalFormatting>
  <conditionalFormatting sqref="D100:D190 C99:C190">
    <cfRule type="top10" dxfId="59" priority="4182" rank="5"/>
  </conditionalFormatting>
  <conditionalFormatting sqref="C100:D190">
    <cfRule type="top10" dxfId="58" priority="4184" rank="5"/>
    <cfRule type="top10" dxfId="57" priority="4185" rank="5"/>
  </conditionalFormatting>
  <conditionalFormatting sqref="C100:D190">
    <cfRule type="top10" dxfId="56" priority="4186" rank="5"/>
    <cfRule type="top10" dxfId="55" priority="4187" rank="5"/>
    <cfRule type="top10" dxfId="54" priority="4188" rank="6"/>
  </conditionalFormatting>
  <conditionalFormatting sqref="C100:D190">
    <cfRule type="top10" dxfId="53" priority="4189" rank="5"/>
  </conditionalFormatting>
  <conditionalFormatting sqref="F100:F190">
    <cfRule type="top10" dxfId="52" priority="4190" rank="5"/>
  </conditionalFormatting>
  <conditionalFormatting sqref="F100:F190">
    <cfRule type="top10" dxfId="51" priority="4191" rank="5"/>
    <cfRule type="top10" dxfId="50" priority="4192" rank="5"/>
  </conditionalFormatting>
  <conditionalFormatting sqref="F100:F190">
    <cfRule type="top10" dxfId="49" priority="4193" rank="5"/>
    <cfRule type="top10" dxfId="48" priority="4194" rank="5"/>
    <cfRule type="top10" dxfId="47" priority="4195" rank="6"/>
  </conditionalFormatting>
  <conditionalFormatting sqref="G100:K190">
    <cfRule type="top10" dxfId="46" priority="4196" rank="5"/>
  </conditionalFormatting>
  <conditionalFormatting sqref="G100:K190">
    <cfRule type="top10" dxfId="45" priority="4197" rank="5"/>
    <cfRule type="top10" dxfId="44" priority="4198" rank="5"/>
  </conditionalFormatting>
  <conditionalFormatting sqref="G100:K190">
    <cfRule type="top10" dxfId="43" priority="4199" rank="5"/>
    <cfRule type="top10" dxfId="42" priority="4200" rank="5"/>
    <cfRule type="top10" dxfId="41" priority="4201" rank="6"/>
  </conditionalFormatting>
  <conditionalFormatting sqref="H100:H190">
    <cfRule type="top10" dxfId="40" priority="4202" rank="5"/>
  </conditionalFormatting>
  <conditionalFormatting sqref="H100:H190">
    <cfRule type="top10" dxfId="39" priority="4203" rank="5"/>
    <cfRule type="top10" dxfId="38" priority="4204" rank="5"/>
  </conditionalFormatting>
  <conditionalFormatting sqref="H100:H190">
    <cfRule type="top10" dxfId="37" priority="4205" rank="5"/>
    <cfRule type="top10" dxfId="36" priority="4206" rank="5"/>
    <cfRule type="top10" dxfId="35" priority="4207" rank="6"/>
  </conditionalFormatting>
  <conditionalFormatting sqref="J100:J190">
    <cfRule type="top10" dxfId="34" priority="4208" rank="5"/>
  </conditionalFormatting>
  <conditionalFormatting sqref="J100:J190">
    <cfRule type="top10" dxfId="33" priority="4209" rank="5"/>
    <cfRule type="top10" dxfId="32" priority="4210" rank="5"/>
  </conditionalFormatting>
  <conditionalFormatting sqref="J100:J190">
    <cfRule type="top10" dxfId="31" priority="4211" rank="5"/>
    <cfRule type="top10" dxfId="30" priority="4212" rank="5"/>
    <cfRule type="top10" dxfId="29" priority="4213" rank="6"/>
  </conditionalFormatting>
  <conditionalFormatting sqref="E100:E190">
    <cfRule type="top10" dxfId="28" priority="4214" rank="5"/>
  </conditionalFormatting>
  <conditionalFormatting sqref="C100:C190">
    <cfRule type="top10" dxfId="27" priority="4215" rank="5"/>
  </conditionalFormatting>
  <conditionalFormatting sqref="G100:G190">
    <cfRule type="top10" dxfId="26" priority="4216" rank="5"/>
  </conditionalFormatting>
  <conditionalFormatting sqref="I100:I190">
    <cfRule type="top10" dxfId="25" priority="4217" rank="5"/>
  </conditionalFormatting>
  <conditionalFormatting sqref="K100:K190">
    <cfRule type="top10" dxfId="24" priority="4218" rank="5"/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0000"/>
  </sheetPr>
  <dimension ref="A1:Z204"/>
  <sheetViews>
    <sheetView tabSelected="1" zoomScale="70" zoomScaleNormal="70" workbookViewId="0">
      <selection activeCell="H127" sqref="H127"/>
    </sheetView>
  </sheetViews>
  <sheetFormatPr baseColWidth="10" defaultColWidth="9.109375" defaultRowHeight="14.4"/>
  <cols>
    <col min="2" max="2" width="33.109375" style="72" bestFit="1" customWidth="1"/>
    <col min="3" max="3" width="14.5546875" bestFit="1" customWidth="1"/>
    <col min="4" max="4" width="15.44140625" bestFit="1" customWidth="1"/>
    <col min="5" max="5" width="13.5546875" bestFit="1" customWidth="1"/>
    <col min="7" max="7" width="18.33203125" bestFit="1" customWidth="1"/>
    <col min="8" max="8" width="13.5546875" bestFit="1" customWidth="1"/>
  </cols>
  <sheetData>
    <row r="1" spans="1:16" s="31" customFormat="1" ht="28.8">
      <c r="A1" s="31" t="s">
        <v>25</v>
      </c>
      <c r="B1" s="69"/>
    </row>
    <row r="2" spans="1:16" ht="18.600000000000001" thickBot="1">
      <c r="A2" s="32"/>
      <c r="B2" s="70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15" thickBot="1">
      <c r="A3" s="32"/>
      <c r="B3" s="71" t="s">
        <v>5</v>
      </c>
      <c r="C3" s="67" t="s">
        <v>9</v>
      </c>
      <c r="D3" s="67" t="s">
        <v>10</v>
      </c>
      <c r="E3" s="67" t="s">
        <v>6</v>
      </c>
      <c r="F3" s="32"/>
      <c r="G3" s="211" t="s">
        <v>23</v>
      </c>
      <c r="H3" s="213"/>
      <c r="I3" s="32"/>
      <c r="J3" s="32"/>
      <c r="K3" s="32"/>
      <c r="L3" s="32"/>
      <c r="M3" s="32"/>
      <c r="N3" s="32"/>
      <c r="O3" s="32"/>
    </row>
    <row r="4" spans="1:16" ht="18.600000000000001" thickBot="1">
      <c r="A4" s="64"/>
      <c r="B4" s="66" t="s">
        <v>50</v>
      </c>
      <c r="C4" s="65">
        <v>11</v>
      </c>
      <c r="D4" s="65">
        <v>10</v>
      </c>
      <c r="E4" s="63">
        <f>C4+D4</f>
        <v>21</v>
      </c>
      <c r="F4" s="32"/>
      <c r="G4" s="21" t="s">
        <v>37</v>
      </c>
      <c r="H4" s="22" t="s">
        <v>6</v>
      </c>
      <c r="I4" s="32"/>
      <c r="J4" s="32"/>
      <c r="K4" s="32"/>
      <c r="L4" s="32"/>
      <c r="M4" s="32"/>
      <c r="N4" s="32"/>
      <c r="O4" s="32"/>
    </row>
    <row r="5" spans="1:16" ht="18">
      <c r="A5" s="32"/>
      <c r="B5" s="66" t="s">
        <v>51</v>
      </c>
      <c r="C5" s="65"/>
      <c r="D5" s="65">
        <v>9</v>
      </c>
      <c r="E5" s="63">
        <f t="shared" ref="E5:E97" si="0">C5+D5</f>
        <v>9</v>
      </c>
      <c r="F5" s="32"/>
      <c r="G5" s="45" t="s">
        <v>79</v>
      </c>
      <c r="H5" s="47">
        <v>15</v>
      </c>
      <c r="I5" s="32"/>
      <c r="J5" s="32">
        <f>SUM(C4:C97)</f>
        <v>117</v>
      </c>
      <c r="K5" s="32"/>
      <c r="L5" s="32"/>
      <c r="M5" s="32"/>
      <c r="N5" s="32"/>
      <c r="O5" s="32"/>
    </row>
    <row r="6" spans="1:16" ht="18">
      <c r="A6" s="32"/>
      <c r="B6" s="66" t="s">
        <v>52</v>
      </c>
      <c r="C6" s="65"/>
      <c r="D6" s="65">
        <v>18</v>
      </c>
      <c r="E6" s="63">
        <f t="shared" si="0"/>
        <v>18</v>
      </c>
      <c r="F6" s="32"/>
      <c r="G6" s="18" t="s">
        <v>80</v>
      </c>
      <c r="H6" s="7">
        <v>14</v>
      </c>
      <c r="I6" s="32"/>
      <c r="J6" s="32"/>
      <c r="K6" s="32"/>
      <c r="L6" s="32"/>
      <c r="M6" s="32"/>
      <c r="N6" s="32"/>
      <c r="O6" s="32"/>
    </row>
    <row r="7" spans="1:16" ht="18">
      <c r="A7" s="32"/>
      <c r="B7" s="66" t="s">
        <v>53</v>
      </c>
      <c r="C7" s="65">
        <v>14</v>
      </c>
      <c r="D7" s="65">
        <v>46</v>
      </c>
      <c r="E7" s="63">
        <f t="shared" si="0"/>
        <v>60</v>
      </c>
      <c r="F7" s="32"/>
      <c r="G7" s="18" t="s">
        <v>81</v>
      </c>
      <c r="H7" s="7">
        <v>12</v>
      </c>
      <c r="I7" s="32"/>
      <c r="J7" s="32"/>
      <c r="K7" s="32"/>
      <c r="L7" s="32"/>
      <c r="M7" s="32"/>
      <c r="N7" s="32"/>
      <c r="O7" s="32"/>
    </row>
    <row r="8" spans="1:16" ht="18">
      <c r="A8" s="32"/>
      <c r="B8" s="66" t="s">
        <v>54</v>
      </c>
      <c r="C8" s="65">
        <v>4</v>
      </c>
      <c r="D8" s="65">
        <v>8</v>
      </c>
      <c r="E8" s="63">
        <f t="shared" si="0"/>
        <v>12</v>
      </c>
      <c r="F8" s="32"/>
      <c r="G8" s="18" t="s">
        <v>82</v>
      </c>
      <c r="H8" s="7">
        <v>12</v>
      </c>
      <c r="I8" s="32"/>
      <c r="J8" s="32"/>
      <c r="K8" s="32"/>
      <c r="L8" s="32"/>
      <c r="M8" s="32"/>
      <c r="N8" s="32"/>
      <c r="O8" s="32"/>
    </row>
    <row r="9" spans="1:16" ht="18.600000000000001" thickBot="1">
      <c r="A9" s="32"/>
      <c r="B9" s="66" t="s">
        <v>55</v>
      </c>
      <c r="C9" s="65">
        <v>12</v>
      </c>
      <c r="D9" s="65">
        <v>4</v>
      </c>
      <c r="E9" s="63">
        <f t="shared" si="0"/>
        <v>16</v>
      </c>
      <c r="F9" s="32"/>
      <c r="G9" s="17" t="s">
        <v>83</v>
      </c>
      <c r="H9" s="8">
        <v>11</v>
      </c>
      <c r="I9" s="32"/>
      <c r="J9" s="32"/>
      <c r="K9" s="32"/>
      <c r="L9" s="32"/>
      <c r="M9" s="32"/>
      <c r="N9" s="32"/>
      <c r="O9" s="32"/>
    </row>
    <row r="10" spans="1:16" ht="18.600000000000001" thickBot="1">
      <c r="A10" s="32"/>
      <c r="B10" s="66" t="s">
        <v>56</v>
      </c>
      <c r="C10" s="65">
        <v>11</v>
      </c>
      <c r="D10" s="65">
        <v>11</v>
      </c>
      <c r="E10" s="63">
        <f t="shared" si="0"/>
        <v>22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6" ht="18.600000000000001" thickBot="1">
      <c r="A11" s="32"/>
      <c r="B11" s="66" t="s">
        <v>57</v>
      </c>
      <c r="C11" s="65"/>
      <c r="D11" s="65">
        <v>4</v>
      </c>
      <c r="E11" s="63">
        <f t="shared" si="0"/>
        <v>4</v>
      </c>
      <c r="F11" s="32"/>
      <c r="G11" s="211" t="s">
        <v>24</v>
      </c>
      <c r="H11" s="213"/>
      <c r="I11" s="32"/>
      <c r="J11" s="32"/>
      <c r="K11" s="32"/>
      <c r="L11" s="32"/>
      <c r="M11" s="32"/>
      <c r="N11" s="32"/>
      <c r="O11" s="32"/>
    </row>
    <row r="12" spans="1:16" ht="18.600000000000001" thickBot="1">
      <c r="A12" s="32"/>
      <c r="B12" s="66" t="s">
        <v>58</v>
      </c>
      <c r="C12" s="65"/>
      <c r="D12" s="65">
        <v>6</v>
      </c>
      <c r="E12" s="63">
        <f t="shared" si="0"/>
        <v>6</v>
      </c>
      <c r="F12" s="32"/>
      <c r="G12" s="43" t="s">
        <v>37</v>
      </c>
      <c r="H12" s="68" t="s">
        <v>6</v>
      </c>
      <c r="I12" s="32"/>
      <c r="J12" s="32"/>
      <c r="K12" s="32"/>
      <c r="L12" s="32"/>
      <c r="M12" s="32"/>
      <c r="N12" s="32"/>
      <c r="O12" s="32"/>
    </row>
    <row r="13" spans="1:16" ht="18">
      <c r="A13" s="32"/>
      <c r="B13" s="66" t="s">
        <v>59</v>
      </c>
      <c r="C13" s="65">
        <v>1</v>
      </c>
      <c r="D13" s="65">
        <v>1</v>
      </c>
      <c r="E13" s="63">
        <f t="shared" si="0"/>
        <v>2</v>
      </c>
      <c r="F13" s="32"/>
      <c r="G13" s="46" t="s">
        <v>80</v>
      </c>
      <c r="H13" s="47">
        <v>46</v>
      </c>
      <c r="I13" s="32"/>
      <c r="J13" s="32">
        <f>SUM(D4:D97)</f>
        <v>279</v>
      </c>
      <c r="K13" s="32"/>
      <c r="L13" s="32"/>
      <c r="M13" s="32"/>
      <c r="N13" s="32"/>
      <c r="O13" s="32"/>
    </row>
    <row r="14" spans="1:16" ht="18">
      <c r="A14" s="32"/>
      <c r="B14" s="66" t="s">
        <v>60</v>
      </c>
      <c r="C14" s="65"/>
      <c r="D14" s="65">
        <v>25</v>
      </c>
      <c r="E14" s="63">
        <f t="shared" si="0"/>
        <v>25</v>
      </c>
      <c r="F14" s="32"/>
      <c r="G14" s="19" t="s">
        <v>84</v>
      </c>
      <c r="H14" s="7">
        <v>44</v>
      </c>
      <c r="I14" s="32"/>
      <c r="J14" s="32"/>
      <c r="K14" s="32"/>
      <c r="L14" s="32"/>
      <c r="M14" s="32"/>
      <c r="N14" s="32"/>
      <c r="O14" s="32"/>
    </row>
    <row r="15" spans="1:16" ht="18">
      <c r="A15" s="32"/>
      <c r="B15" s="66" t="s">
        <v>61</v>
      </c>
      <c r="C15" s="65"/>
      <c r="D15" s="65">
        <v>1</v>
      </c>
      <c r="E15" s="63">
        <f t="shared" si="0"/>
        <v>1</v>
      </c>
      <c r="F15" s="32"/>
      <c r="G15" s="19" t="s">
        <v>85</v>
      </c>
      <c r="H15" s="7">
        <v>25</v>
      </c>
      <c r="I15" s="32"/>
      <c r="J15" s="32"/>
      <c r="K15" s="32"/>
      <c r="L15" s="32"/>
      <c r="M15" s="32"/>
      <c r="N15" s="32"/>
      <c r="O15" s="32"/>
    </row>
    <row r="16" spans="1:16" ht="18">
      <c r="A16" s="32"/>
      <c r="B16" s="66" t="s">
        <v>62</v>
      </c>
      <c r="C16" s="65"/>
      <c r="D16" s="65">
        <v>4</v>
      </c>
      <c r="E16" s="63">
        <f t="shared" si="0"/>
        <v>4</v>
      </c>
      <c r="F16" s="32"/>
      <c r="G16" s="19" t="s">
        <v>86</v>
      </c>
      <c r="H16" s="7">
        <v>18</v>
      </c>
      <c r="I16" s="32"/>
      <c r="J16" s="32"/>
      <c r="K16" s="32"/>
      <c r="L16" s="32"/>
      <c r="M16" s="32"/>
      <c r="N16" s="32"/>
      <c r="O16" s="32"/>
    </row>
    <row r="17" spans="1:15" ht="18.600000000000001" thickBot="1">
      <c r="A17" s="32"/>
      <c r="B17" s="66" t="s">
        <v>63</v>
      </c>
      <c r="C17" s="65">
        <v>8</v>
      </c>
      <c r="D17" s="65">
        <v>6</v>
      </c>
      <c r="E17" s="63">
        <f t="shared" si="0"/>
        <v>14</v>
      </c>
      <c r="F17" s="32"/>
      <c r="G17" s="44" t="s">
        <v>79</v>
      </c>
      <c r="H17" s="8">
        <v>16</v>
      </c>
      <c r="I17" s="32"/>
      <c r="J17" s="32"/>
      <c r="K17" s="32"/>
      <c r="L17" s="32"/>
      <c r="M17" s="32"/>
      <c r="N17" s="32"/>
      <c r="O17" s="32"/>
    </row>
    <row r="18" spans="1:15" ht="18.600000000000001" thickBot="1">
      <c r="A18" s="32"/>
      <c r="B18" s="66" t="s">
        <v>64</v>
      </c>
      <c r="C18" s="65">
        <v>4</v>
      </c>
      <c r="D18" s="65">
        <v>11</v>
      </c>
      <c r="E18" s="63">
        <f t="shared" si="0"/>
        <v>15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1:15" ht="18.600000000000001" thickBot="1">
      <c r="A19" s="32"/>
      <c r="B19" s="66" t="s">
        <v>65</v>
      </c>
      <c r="C19" s="65"/>
      <c r="D19" s="65">
        <v>8</v>
      </c>
      <c r="E19" s="63">
        <f t="shared" si="0"/>
        <v>8</v>
      </c>
      <c r="F19" s="32"/>
      <c r="G19" s="211" t="s">
        <v>13</v>
      </c>
      <c r="H19" s="213"/>
      <c r="I19" s="32"/>
      <c r="J19" s="32"/>
      <c r="K19" s="32"/>
      <c r="L19" s="32"/>
      <c r="M19" s="32"/>
      <c r="N19" s="32"/>
      <c r="O19" s="32"/>
    </row>
    <row r="20" spans="1:15" ht="18.600000000000001" thickBot="1">
      <c r="A20" s="32"/>
      <c r="B20" s="66" t="s">
        <v>66</v>
      </c>
      <c r="C20" s="65">
        <v>15</v>
      </c>
      <c r="D20" s="65">
        <v>16</v>
      </c>
      <c r="E20" s="63">
        <f t="shared" si="0"/>
        <v>31</v>
      </c>
      <c r="F20" s="32"/>
      <c r="G20" s="46" t="s">
        <v>80</v>
      </c>
      <c r="H20" s="47">
        <v>60</v>
      </c>
      <c r="I20" s="32"/>
      <c r="J20" s="32">
        <f>SUM(E4:E97)</f>
        <v>396</v>
      </c>
      <c r="K20" s="32"/>
      <c r="L20" s="32"/>
      <c r="M20" s="32"/>
      <c r="N20" s="32"/>
      <c r="O20" s="32"/>
    </row>
    <row r="21" spans="1:15" ht="18.600000000000001" thickBot="1">
      <c r="A21" s="32"/>
      <c r="B21" s="66" t="s">
        <v>67</v>
      </c>
      <c r="C21" s="65">
        <v>4</v>
      </c>
      <c r="D21" s="65">
        <v>12</v>
      </c>
      <c r="E21" s="63">
        <f t="shared" si="0"/>
        <v>16</v>
      </c>
      <c r="F21" s="32"/>
      <c r="G21" s="19" t="s">
        <v>84</v>
      </c>
      <c r="H21" s="4">
        <v>52</v>
      </c>
      <c r="I21" s="32"/>
      <c r="J21" s="32"/>
      <c r="K21" s="32"/>
      <c r="L21" s="32"/>
      <c r="M21" s="32"/>
      <c r="N21" s="32"/>
      <c r="O21" s="32"/>
    </row>
    <row r="22" spans="1:15" ht="18.600000000000001" thickBot="1">
      <c r="A22" s="32"/>
      <c r="B22" s="66" t="s">
        <v>68</v>
      </c>
      <c r="C22" s="65">
        <v>12</v>
      </c>
      <c r="D22" s="65">
        <v>14</v>
      </c>
      <c r="E22" s="63">
        <f t="shared" si="0"/>
        <v>26</v>
      </c>
      <c r="F22" s="32"/>
      <c r="G22" s="19" t="s">
        <v>79</v>
      </c>
      <c r="H22" s="4">
        <v>31</v>
      </c>
      <c r="I22" s="32"/>
      <c r="J22" s="32"/>
      <c r="K22" s="32"/>
      <c r="L22" s="32"/>
      <c r="M22" s="32"/>
      <c r="N22" s="32"/>
      <c r="O22" s="32"/>
    </row>
    <row r="23" spans="1:15" ht="18.600000000000001" thickBot="1">
      <c r="A23" s="32"/>
      <c r="B23" s="66" t="s">
        <v>69</v>
      </c>
      <c r="C23" s="65"/>
      <c r="D23" s="65">
        <v>1</v>
      </c>
      <c r="E23" s="63">
        <f t="shared" si="0"/>
        <v>1</v>
      </c>
      <c r="F23" s="32"/>
      <c r="G23" s="19" t="s">
        <v>82</v>
      </c>
      <c r="H23" s="4">
        <v>26</v>
      </c>
      <c r="I23" s="32"/>
      <c r="J23" s="32"/>
      <c r="K23" s="32"/>
      <c r="L23" s="32"/>
      <c r="M23" s="32"/>
      <c r="N23" s="32"/>
      <c r="O23" s="32"/>
    </row>
    <row r="24" spans="1:15" ht="18.600000000000001" thickBot="1">
      <c r="A24" s="32"/>
      <c r="B24" s="66" t="s">
        <v>70</v>
      </c>
      <c r="C24" s="65">
        <v>2</v>
      </c>
      <c r="D24" s="65">
        <v>4</v>
      </c>
      <c r="E24" s="63">
        <f t="shared" si="0"/>
        <v>6</v>
      </c>
      <c r="F24" s="32"/>
      <c r="G24" s="44" t="s">
        <v>85</v>
      </c>
      <c r="H24" s="23">
        <v>25</v>
      </c>
      <c r="I24" s="32"/>
      <c r="J24" s="32"/>
      <c r="K24" s="32"/>
      <c r="L24" s="32"/>
      <c r="M24" s="32"/>
      <c r="N24" s="32"/>
      <c r="O24" s="32"/>
    </row>
    <row r="25" spans="1:15" ht="18">
      <c r="A25" s="32"/>
      <c r="B25" s="66" t="s">
        <v>71</v>
      </c>
      <c r="C25" s="65"/>
      <c r="D25" s="65">
        <v>3</v>
      </c>
      <c r="E25" s="63">
        <f t="shared" si="0"/>
        <v>3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spans="1:15" s="32" customFormat="1" ht="18">
      <c r="B26" s="66" t="s">
        <v>72</v>
      </c>
      <c r="C26" s="65"/>
      <c r="D26" s="65">
        <v>7</v>
      </c>
      <c r="E26" s="63">
        <f t="shared" si="0"/>
        <v>7</v>
      </c>
    </row>
    <row r="27" spans="1:15" s="32" customFormat="1" ht="18">
      <c r="B27" s="66" t="s">
        <v>73</v>
      </c>
      <c r="C27" s="65">
        <v>8</v>
      </c>
      <c r="D27" s="65">
        <v>44</v>
      </c>
      <c r="E27" s="63">
        <f t="shared" si="0"/>
        <v>52</v>
      </c>
    </row>
    <row r="28" spans="1:15" s="32" customFormat="1" ht="18">
      <c r="B28" s="66" t="s">
        <v>74</v>
      </c>
      <c r="C28" s="65"/>
      <c r="D28" s="65">
        <v>4</v>
      </c>
      <c r="E28" s="63">
        <f t="shared" si="0"/>
        <v>4</v>
      </c>
    </row>
    <row r="29" spans="1:15" s="32" customFormat="1" ht="18">
      <c r="B29" s="66" t="s">
        <v>75</v>
      </c>
      <c r="C29" s="65">
        <v>2</v>
      </c>
      <c r="D29" s="65">
        <v>2</v>
      </c>
      <c r="E29" s="63">
        <f t="shared" si="0"/>
        <v>4</v>
      </c>
    </row>
    <row r="30" spans="1:15" s="32" customFormat="1" ht="18">
      <c r="B30" s="66" t="s">
        <v>76</v>
      </c>
      <c r="C30" s="65">
        <v>3</v>
      </c>
      <c r="D30" s="65"/>
      <c r="E30" s="63">
        <f t="shared" si="0"/>
        <v>3</v>
      </c>
    </row>
    <row r="31" spans="1:15" s="32" customFormat="1" ht="18">
      <c r="B31" s="66" t="s">
        <v>77</v>
      </c>
      <c r="C31" s="65">
        <v>4</v>
      </c>
      <c r="D31" s="65"/>
      <c r="E31" s="63">
        <f t="shared" si="0"/>
        <v>4</v>
      </c>
    </row>
    <row r="32" spans="1:15" s="32" customFormat="1" ht="18">
      <c r="B32" s="66" t="s">
        <v>78</v>
      </c>
      <c r="C32" s="65">
        <v>2</v>
      </c>
      <c r="D32" s="65"/>
      <c r="E32" s="63">
        <f t="shared" si="0"/>
        <v>2</v>
      </c>
    </row>
    <row r="33" spans="2:5" s="32" customFormat="1" ht="18">
      <c r="B33" s="66"/>
      <c r="C33" s="65"/>
      <c r="D33" s="65"/>
      <c r="E33" s="63">
        <f t="shared" si="0"/>
        <v>0</v>
      </c>
    </row>
    <row r="34" spans="2:5" s="32" customFormat="1" ht="18">
      <c r="B34" s="66"/>
      <c r="C34" s="65"/>
      <c r="D34" s="65"/>
      <c r="E34" s="63">
        <f t="shared" si="0"/>
        <v>0</v>
      </c>
    </row>
    <row r="35" spans="2:5" s="32" customFormat="1" ht="18">
      <c r="B35" s="66"/>
      <c r="C35" s="65"/>
      <c r="D35" s="65"/>
      <c r="E35" s="63">
        <f t="shared" si="0"/>
        <v>0</v>
      </c>
    </row>
    <row r="36" spans="2:5" s="32" customFormat="1" ht="18">
      <c r="B36" s="66"/>
      <c r="C36" s="65"/>
      <c r="D36" s="65"/>
      <c r="E36" s="63">
        <f t="shared" si="0"/>
        <v>0</v>
      </c>
    </row>
    <row r="37" spans="2:5" s="32" customFormat="1" ht="18">
      <c r="B37" s="66"/>
      <c r="C37" s="65"/>
      <c r="D37" s="65"/>
      <c r="E37" s="63">
        <f t="shared" si="0"/>
        <v>0</v>
      </c>
    </row>
    <row r="38" spans="2:5" s="32" customFormat="1" ht="18">
      <c r="B38" s="66"/>
      <c r="C38" s="65"/>
      <c r="D38" s="65"/>
      <c r="E38" s="63">
        <f t="shared" si="0"/>
        <v>0</v>
      </c>
    </row>
    <row r="39" spans="2:5" s="32" customFormat="1" ht="18">
      <c r="B39" s="66"/>
      <c r="C39" s="65"/>
      <c r="D39" s="65"/>
      <c r="E39" s="63">
        <f t="shared" si="0"/>
        <v>0</v>
      </c>
    </row>
    <row r="40" spans="2:5" s="32" customFormat="1" ht="18">
      <c r="B40" s="66"/>
      <c r="C40" s="65"/>
      <c r="D40" s="65"/>
      <c r="E40" s="63">
        <f t="shared" si="0"/>
        <v>0</v>
      </c>
    </row>
    <row r="41" spans="2:5" s="32" customFormat="1" ht="18">
      <c r="B41" s="66"/>
      <c r="C41" s="65"/>
      <c r="D41" s="65"/>
      <c r="E41" s="63">
        <f t="shared" si="0"/>
        <v>0</v>
      </c>
    </row>
    <row r="42" spans="2:5" s="32" customFormat="1" ht="18">
      <c r="B42" s="66"/>
      <c r="C42" s="65"/>
      <c r="D42" s="65"/>
      <c r="E42" s="63">
        <f t="shared" si="0"/>
        <v>0</v>
      </c>
    </row>
    <row r="43" spans="2:5" s="32" customFormat="1" ht="18">
      <c r="B43" s="66"/>
      <c r="C43" s="65"/>
      <c r="D43" s="65"/>
      <c r="E43" s="63">
        <f t="shared" si="0"/>
        <v>0</v>
      </c>
    </row>
    <row r="44" spans="2:5" s="32" customFormat="1" ht="18">
      <c r="B44" s="66"/>
      <c r="C44" s="65"/>
      <c r="D44" s="65"/>
      <c r="E44" s="63">
        <f t="shared" si="0"/>
        <v>0</v>
      </c>
    </row>
    <row r="45" spans="2:5" s="32" customFormat="1" ht="18">
      <c r="B45" s="66"/>
      <c r="C45" s="65"/>
      <c r="D45" s="65"/>
      <c r="E45" s="63">
        <f t="shared" si="0"/>
        <v>0</v>
      </c>
    </row>
    <row r="46" spans="2:5" s="32" customFormat="1" ht="18">
      <c r="B46" s="66"/>
      <c r="C46" s="65"/>
      <c r="D46" s="65"/>
      <c r="E46" s="63">
        <f t="shared" si="0"/>
        <v>0</v>
      </c>
    </row>
    <row r="47" spans="2:5" s="32" customFormat="1" ht="18">
      <c r="B47" s="66"/>
      <c r="C47" s="65"/>
      <c r="D47" s="65"/>
      <c r="E47" s="63">
        <f t="shared" si="0"/>
        <v>0</v>
      </c>
    </row>
    <row r="48" spans="2:5" s="32" customFormat="1" ht="18">
      <c r="B48" s="66"/>
      <c r="C48" s="65"/>
      <c r="D48" s="65"/>
      <c r="E48" s="63">
        <f t="shared" si="0"/>
        <v>0</v>
      </c>
    </row>
    <row r="49" spans="1:15" s="32" customFormat="1" ht="18">
      <c r="B49" s="66"/>
      <c r="C49" s="65"/>
      <c r="D49" s="65"/>
      <c r="E49" s="63">
        <f t="shared" si="0"/>
        <v>0</v>
      </c>
    </row>
    <row r="50" spans="1:15" s="32" customFormat="1" ht="18">
      <c r="B50" s="66"/>
      <c r="C50" s="65"/>
      <c r="D50" s="65"/>
      <c r="E50" s="63">
        <f t="shared" si="0"/>
        <v>0</v>
      </c>
    </row>
    <row r="51" spans="1:15" s="32" customFormat="1" ht="18">
      <c r="B51" s="66"/>
      <c r="C51" s="65"/>
      <c r="D51" s="65"/>
      <c r="E51" s="63">
        <f t="shared" si="0"/>
        <v>0</v>
      </c>
    </row>
    <row r="52" spans="1:15" ht="18">
      <c r="A52" s="32"/>
      <c r="B52" s="66"/>
      <c r="C52" s="65"/>
      <c r="D52" s="65"/>
      <c r="E52" s="63">
        <f t="shared" si="0"/>
        <v>0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1:15" ht="18">
      <c r="A53" s="32"/>
      <c r="B53" s="66"/>
      <c r="C53" s="65"/>
      <c r="D53" s="65"/>
      <c r="E53" s="63">
        <f t="shared" si="0"/>
        <v>0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5" s="32" customFormat="1" ht="18">
      <c r="B54" s="66"/>
      <c r="C54" s="65"/>
      <c r="D54" s="65"/>
      <c r="E54" s="63">
        <f t="shared" si="0"/>
        <v>0</v>
      </c>
    </row>
    <row r="55" spans="1:15" s="32" customFormat="1" ht="18">
      <c r="B55" s="66"/>
      <c r="C55" s="65"/>
      <c r="D55" s="65"/>
      <c r="E55" s="63">
        <f t="shared" si="0"/>
        <v>0</v>
      </c>
    </row>
    <row r="56" spans="1:15" s="32" customFormat="1" ht="18">
      <c r="B56" s="66"/>
      <c r="C56" s="65"/>
      <c r="D56" s="65"/>
      <c r="E56" s="63">
        <f t="shared" si="0"/>
        <v>0</v>
      </c>
    </row>
    <row r="57" spans="1:15" s="32" customFormat="1" ht="18">
      <c r="B57" s="66"/>
      <c r="C57" s="65"/>
      <c r="D57" s="65"/>
      <c r="E57" s="63">
        <f t="shared" si="0"/>
        <v>0</v>
      </c>
    </row>
    <row r="58" spans="1:15" s="32" customFormat="1" ht="18">
      <c r="B58" s="66"/>
      <c r="C58" s="65"/>
      <c r="D58" s="65"/>
      <c r="E58" s="63">
        <f t="shared" si="0"/>
        <v>0</v>
      </c>
    </row>
    <row r="59" spans="1:15" s="32" customFormat="1" ht="18">
      <c r="B59" s="66"/>
      <c r="C59" s="65"/>
      <c r="D59" s="65"/>
      <c r="E59" s="63">
        <f t="shared" si="0"/>
        <v>0</v>
      </c>
    </row>
    <row r="60" spans="1:15" s="32" customFormat="1" ht="18">
      <c r="B60" s="66"/>
      <c r="C60" s="65"/>
      <c r="D60" s="65"/>
      <c r="E60" s="63">
        <f t="shared" si="0"/>
        <v>0</v>
      </c>
    </row>
    <row r="61" spans="1:15" s="32" customFormat="1" ht="18">
      <c r="B61" s="66"/>
      <c r="C61" s="65"/>
      <c r="D61" s="65"/>
      <c r="E61" s="63">
        <f t="shared" si="0"/>
        <v>0</v>
      </c>
    </row>
    <row r="62" spans="1:15" s="32" customFormat="1" ht="18">
      <c r="B62" s="66"/>
      <c r="C62" s="65"/>
      <c r="D62" s="65"/>
      <c r="E62" s="63">
        <f t="shared" si="0"/>
        <v>0</v>
      </c>
    </row>
    <row r="63" spans="1:15" s="32" customFormat="1" ht="18">
      <c r="B63" s="66"/>
      <c r="C63" s="65"/>
      <c r="D63" s="65"/>
      <c r="E63" s="63">
        <f t="shared" si="0"/>
        <v>0</v>
      </c>
    </row>
    <row r="64" spans="1:15" s="32" customFormat="1" ht="18">
      <c r="B64" s="66"/>
      <c r="C64" s="65"/>
      <c r="D64" s="65"/>
      <c r="E64" s="63">
        <f t="shared" si="0"/>
        <v>0</v>
      </c>
    </row>
    <row r="65" spans="1:15" s="32" customFormat="1" ht="18">
      <c r="B65" s="66"/>
      <c r="C65" s="65"/>
      <c r="D65" s="65"/>
      <c r="E65" s="63">
        <f t="shared" si="0"/>
        <v>0</v>
      </c>
    </row>
    <row r="66" spans="1:15" s="32" customFormat="1" ht="18">
      <c r="B66" s="66"/>
      <c r="C66" s="65"/>
      <c r="D66" s="65"/>
      <c r="E66" s="63">
        <f t="shared" si="0"/>
        <v>0</v>
      </c>
    </row>
    <row r="67" spans="1:15" s="32" customFormat="1" ht="18">
      <c r="B67" s="66"/>
      <c r="C67" s="65"/>
      <c r="D67" s="65"/>
      <c r="E67" s="63">
        <f t="shared" si="0"/>
        <v>0</v>
      </c>
    </row>
    <row r="68" spans="1:15" s="32" customFormat="1" ht="18">
      <c r="B68" s="66"/>
      <c r="C68" s="65"/>
      <c r="D68" s="65"/>
      <c r="E68" s="63">
        <f t="shared" si="0"/>
        <v>0</v>
      </c>
    </row>
    <row r="69" spans="1:15" s="32" customFormat="1" ht="18">
      <c r="B69" s="66"/>
      <c r="C69" s="65"/>
      <c r="D69" s="65"/>
      <c r="E69" s="63">
        <f t="shared" si="0"/>
        <v>0</v>
      </c>
    </row>
    <row r="70" spans="1:15" s="32" customFormat="1" ht="18">
      <c r="B70" s="66"/>
      <c r="C70" s="65"/>
      <c r="D70" s="65"/>
      <c r="E70" s="63">
        <f t="shared" si="0"/>
        <v>0</v>
      </c>
    </row>
    <row r="71" spans="1:15" s="32" customFormat="1" ht="18">
      <c r="B71" s="66"/>
      <c r="C71" s="65"/>
      <c r="D71" s="65"/>
      <c r="E71" s="63">
        <f t="shared" si="0"/>
        <v>0</v>
      </c>
    </row>
    <row r="72" spans="1:15" s="32" customFormat="1" ht="18">
      <c r="B72" s="66"/>
      <c r="C72" s="65"/>
      <c r="D72" s="65"/>
      <c r="E72" s="63">
        <f t="shared" si="0"/>
        <v>0</v>
      </c>
    </row>
    <row r="73" spans="1:15" s="32" customFormat="1" ht="18">
      <c r="B73" s="66"/>
      <c r="C73" s="65"/>
      <c r="D73" s="65"/>
      <c r="E73" s="63">
        <f t="shared" si="0"/>
        <v>0</v>
      </c>
    </row>
    <row r="74" spans="1:15" s="32" customFormat="1" ht="18">
      <c r="B74" s="66"/>
      <c r="C74" s="65"/>
      <c r="D74" s="65"/>
      <c r="E74" s="63">
        <f t="shared" si="0"/>
        <v>0</v>
      </c>
    </row>
    <row r="75" spans="1:15" s="32" customFormat="1" ht="18">
      <c r="B75" s="66"/>
      <c r="C75" s="65"/>
      <c r="D75" s="65"/>
      <c r="E75" s="63">
        <f t="shared" si="0"/>
        <v>0</v>
      </c>
    </row>
    <row r="76" spans="1:15" ht="18">
      <c r="A76" s="32"/>
      <c r="B76" s="66"/>
      <c r="C76" s="65"/>
      <c r="D76" s="65"/>
      <c r="E76" s="63">
        <f t="shared" si="0"/>
        <v>0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</row>
    <row r="77" spans="1:15" ht="18">
      <c r="A77" s="32"/>
      <c r="B77" s="66"/>
      <c r="C77" s="65"/>
      <c r="D77" s="65"/>
      <c r="E77" s="63">
        <f t="shared" si="0"/>
        <v>0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spans="1:15" ht="18">
      <c r="A78" s="32"/>
      <c r="B78" s="66"/>
      <c r="C78" s="65"/>
      <c r="D78" s="65"/>
      <c r="E78" s="63">
        <f t="shared" si="0"/>
        <v>0</v>
      </c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spans="1:15" ht="18">
      <c r="A79" s="32"/>
      <c r="B79" s="66"/>
      <c r="C79" s="65"/>
      <c r="D79" s="65"/>
      <c r="E79" s="63">
        <f t="shared" si="0"/>
        <v>0</v>
      </c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1:15" ht="18">
      <c r="A80" s="32"/>
      <c r="B80" s="66"/>
      <c r="C80" s="65"/>
      <c r="D80" s="65"/>
      <c r="E80" s="63">
        <f t="shared" si="0"/>
        <v>0</v>
      </c>
      <c r="F80" s="32"/>
      <c r="G80" s="32"/>
      <c r="H80" s="32"/>
      <c r="I80" s="30"/>
      <c r="J80" s="32"/>
      <c r="K80" s="32"/>
      <c r="L80" s="32"/>
      <c r="M80" s="32"/>
      <c r="N80" s="32"/>
      <c r="O80" s="32"/>
    </row>
    <row r="81" spans="1:15" ht="18">
      <c r="A81" s="32"/>
      <c r="B81" s="66"/>
      <c r="C81" s="65"/>
      <c r="D81" s="65"/>
      <c r="E81" s="63">
        <f t="shared" si="0"/>
        <v>0</v>
      </c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1:15" ht="18">
      <c r="A82" s="32"/>
      <c r="B82" s="66"/>
      <c r="C82" s="65"/>
      <c r="D82" s="65"/>
      <c r="E82" s="63">
        <f t="shared" si="0"/>
        <v>0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1:15" ht="18">
      <c r="A83" s="32"/>
      <c r="B83" s="66"/>
      <c r="C83" s="65"/>
      <c r="D83" s="65"/>
      <c r="E83" s="63">
        <f t="shared" si="0"/>
        <v>0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1:15" ht="18">
      <c r="A84" s="32"/>
      <c r="B84" s="66"/>
      <c r="C84" s="65"/>
      <c r="D84" s="65"/>
      <c r="E84" s="63">
        <f t="shared" si="0"/>
        <v>0</v>
      </c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1:15" ht="18">
      <c r="A85" s="32"/>
      <c r="B85" s="66"/>
      <c r="C85" s="65"/>
      <c r="D85" s="65"/>
      <c r="E85" s="63">
        <f t="shared" si="0"/>
        <v>0</v>
      </c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spans="1:15" ht="18">
      <c r="A86" s="32"/>
      <c r="B86" s="66"/>
      <c r="C86" s="65"/>
      <c r="D86" s="65"/>
      <c r="E86" s="63">
        <f t="shared" si="0"/>
        <v>0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spans="1:15" ht="18">
      <c r="A87" s="32"/>
      <c r="B87" s="66"/>
      <c r="C87" s="65"/>
      <c r="D87" s="65"/>
      <c r="E87" s="63">
        <f t="shared" si="0"/>
        <v>0</v>
      </c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1:15" ht="18">
      <c r="A88" s="32"/>
      <c r="B88" s="66"/>
      <c r="C88" s="65"/>
      <c r="D88" s="65"/>
      <c r="E88" s="63">
        <f t="shared" si="0"/>
        <v>0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</row>
    <row r="89" spans="1:15" ht="18">
      <c r="A89" s="32"/>
      <c r="B89" s="66"/>
      <c r="C89" s="65"/>
      <c r="D89" s="65"/>
      <c r="E89" s="63">
        <f t="shared" si="0"/>
        <v>0</v>
      </c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spans="1:15" ht="18">
      <c r="A90" s="32"/>
      <c r="B90" s="66"/>
      <c r="C90" s="65"/>
      <c r="D90" s="65"/>
      <c r="E90" s="63">
        <f t="shared" si="0"/>
        <v>0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</row>
    <row r="91" spans="1:15" ht="18">
      <c r="A91" s="32"/>
      <c r="B91" s="66"/>
      <c r="C91" s="65"/>
      <c r="D91" s="65"/>
      <c r="E91" s="63">
        <f t="shared" si="0"/>
        <v>0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1:15" ht="18">
      <c r="A92" s="32"/>
      <c r="B92" s="66"/>
      <c r="C92" s="65"/>
      <c r="D92" s="65"/>
      <c r="E92" s="63">
        <f t="shared" si="0"/>
        <v>0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</row>
    <row r="93" spans="1:15" ht="18">
      <c r="A93" s="32"/>
      <c r="B93" s="66"/>
      <c r="C93" s="65"/>
      <c r="D93" s="65"/>
      <c r="E93" s="63">
        <f t="shared" si="0"/>
        <v>0</v>
      </c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spans="1:15" ht="18">
      <c r="A94" s="32"/>
      <c r="B94" s="66"/>
      <c r="C94" s="65"/>
      <c r="D94" s="65"/>
      <c r="E94" s="63">
        <f t="shared" si="0"/>
        <v>0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</row>
    <row r="95" spans="1:15" ht="18">
      <c r="A95" s="32"/>
      <c r="B95" s="66"/>
      <c r="C95" s="65"/>
      <c r="D95" s="65"/>
      <c r="E95" s="63">
        <f t="shared" si="0"/>
        <v>0</v>
      </c>
      <c r="F95" s="32"/>
      <c r="G95" s="32"/>
      <c r="H95" s="32"/>
      <c r="I95" s="32"/>
      <c r="J95" s="32"/>
      <c r="K95" s="32"/>
      <c r="L95" s="32"/>
      <c r="M95" s="32"/>
      <c r="N95" s="32"/>
      <c r="O95" s="32"/>
    </row>
    <row r="96" spans="1:15" ht="18">
      <c r="A96" s="32"/>
      <c r="B96" s="66"/>
      <c r="C96" s="65"/>
      <c r="D96" s="65"/>
      <c r="E96" s="63">
        <f t="shared" si="0"/>
        <v>0</v>
      </c>
      <c r="F96" s="32"/>
      <c r="G96" s="32"/>
      <c r="H96" s="32"/>
      <c r="I96" s="32"/>
      <c r="J96" s="32"/>
      <c r="K96" s="32"/>
      <c r="L96" s="32"/>
      <c r="M96" s="32"/>
      <c r="N96" s="32"/>
      <c r="O96" s="32"/>
    </row>
    <row r="97" spans="1:26" ht="18">
      <c r="A97" s="32"/>
      <c r="B97" s="66"/>
      <c r="C97" s="65"/>
      <c r="D97" s="65"/>
      <c r="E97" s="63">
        <f t="shared" si="0"/>
        <v>0</v>
      </c>
      <c r="F97" s="32"/>
      <c r="G97" s="32"/>
      <c r="H97" s="32"/>
      <c r="I97" s="32"/>
      <c r="J97" s="32"/>
      <c r="K97" s="32"/>
      <c r="L97" s="32"/>
      <c r="M97" s="32"/>
      <c r="N97" s="32"/>
      <c r="O97" s="32"/>
    </row>
    <row r="98" spans="1:26" s="32" customFormat="1" ht="18">
      <c r="B98" s="66"/>
      <c r="C98" s="65"/>
      <c r="D98" s="65"/>
      <c r="E98" s="63"/>
    </row>
    <row r="99" spans="1:26" s="32" customFormat="1" ht="18">
      <c r="B99" s="66"/>
      <c r="C99" s="65"/>
      <c r="D99" s="65"/>
      <c r="E99" s="63"/>
    </row>
    <row r="100" spans="1:26" s="32" customFormat="1" ht="18">
      <c r="B100" s="66"/>
      <c r="C100" s="65"/>
      <c r="D100" s="65"/>
      <c r="E100" s="63"/>
    </row>
    <row r="101" spans="1:26" s="31" customFormat="1" ht="28.8">
      <c r="A101" s="31" t="s">
        <v>26</v>
      </c>
      <c r="B101" s="69"/>
    </row>
    <row r="103" spans="1:26" ht="15" thickBot="1"/>
    <row r="104" spans="1:26" ht="15" thickBot="1">
      <c r="B104" s="71" t="s">
        <v>37</v>
      </c>
      <c r="C104" s="67" t="s">
        <v>9</v>
      </c>
      <c r="D104" s="67" t="s">
        <v>10</v>
      </c>
      <c r="E104" s="67" t="s">
        <v>6</v>
      </c>
      <c r="F104" s="32"/>
      <c r="G104" s="211" t="s">
        <v>23</v>
      </c>
      <c r="H104" s="213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8.600000000000001" thickBot="1">
      <c r="B105" s="66" t="s">
        <v>87</v>
      </c>
      <c r="C105" s="65"/>
      <c r="D105" s="65">
        <v>2</v>
      </c>
      <c r="E105" s="63">
        <f>C105+D105</f>
        <v>2</v>
      </c>
      <c r="F105" s="32"/>
      <c r="G105" s="21" t="s">
        <v>37</v>
      </c>
      <c r="H105" s="22" t="s">
        <v>6</v>
      </c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8">
      <c r="B106" s="66" t="s">
        <v>55</v>
      </c>
      <c r="C106" s="65">
        <v>39</v>
      </c>
      <c r="D106" s="65">
        <v>19</v>
      </c>
      <c r="E106" s="63">
        <f t="shared" ref="E106:E169" si="1">C106+D106</f>
        <v>58</v>
      </c>
      <c r="F106" s="32"/>
      <c r="G106" s="45" t="s">
        <v>80</v>
      </c>
      <c r="H106" s="47">
        <v>145</v>
      </c>
      <c r="I106" s="32"/>
      <c r="J106" s="32">
        <f>SUM(C105:C200)</f>
        <v>1609</v>
      </c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8">
      <c r="B107" s="66" t="s">
        <v>88</v>
      </c>
      <c r="C107" s="65">
        <v>8</v>
      </c>
      <c r="D107" s="65">
        <v>12</v>
      </c>
      <c r="E107" s="63">
        <f t="shared" si="1"/>
        <v>20</v>
      </c>
      <c r="F107" s="32"/>
      <c r="G107" s="18" t="s">
        <v>85</v>
      </c>
      <c r="H107" s="7">
        <v>132</v>
      </c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8">
      <c r="B108" s="66" t="s">
        <v>89</v>
      </c>
      <c r="C108" s="65"/>
      <c r="D108" s="65">
        <v>7</v>
      </c>
      <c r="E108" s="63">
        <f t="shared" si="1"/>
        <v>7</v>
      </c>
      <c r="F108" s="32"/>
      <c r="G108" s="18" t="s">
        <v>86</v>
      </c>
      <c r="H108" s="7">
        <v>122</v>
      </c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8">
      <c r="B109" s="66" t="s">
        <v>60</v>
      </c>
      <c r="C109" s="65">
        <v>132</v>
      </c>
      <c r="D109" s="65">
        <v>258</v>
      </c>
      <c r="E109" s="63">
        <f t="shared" si="1"/>
        <v>390</v>
      </c>
      <c r="F109" s="32"/>
      <c r="G109" s="18" t="s">
        <v>79</v>
      </c>
      <c r="H109" s="7">
        <v>87</v>
      </c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8.600000000000001" thickBot="1">
      <c r="B110" s="66" t="s">
        <v>90</v>
      </c>
      <c r="C110" s="65">
        <v>1</v>
      </c>
      <c r="D110" s="65">
        <v>3</v>
      </c>
      <c r="E110" s="63">
        <f t="shared" si="1"/>
        <v>4</v>
      </c>
      <c r="F110" s="32"/>
      <c r="G110" s="17" t="s">
        <v>158</v>
      </c>
      <c r="H110" s="8">
        <v>73</v>
      </c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8.600000000000001" thickBot="1">
      <c r="B111" s="66" t="s">
        <v>91</v>
      </c>
      <c r="C111" s="65">
        <v>21</v>
      </c>
      <c r="D111" s="65">
        <v>31</v>
      </c>
      <c r="E111" s="63">
        <f t="shared" si="1"/>
        <v>52</v>
      </c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8.600000000000001" thickBot="1">
      <c r="B112" s="66" t="s">
        <v>92</v>
      </c>
      <c r="C112" s="65"/>
      <c r="D112" s="65">
        <v>1</v>
      </c>
      <c r="E112" s="63">
        <f t="shared" si="1"/>
        <v>1</v>
      </c>
      <c r="F112" s="32"/>
      <c r="G112" s="211" t="s">
        <v>24</v>
      </c>
      <c r="H112" s="213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2:26" ht="18.600000000000001" thickBot="1">
      <c r="B113" s="66" t="s">
        <v>93</v>
      </c>
      <c r="C113" s="65">
        <v>18</v>
      </c>
      <c r="D113" s="65">
        <v>54</v>
      </c>
      <c r="E113" s="63">
        <f t="shared" si="1"/>
        <v>72</v>
      </c>
      <c r="F113" s="32"/>
      <c r="G113" s="21" t="s">
        <v>37</v>
      </c>
      <c r="H113" s="22" t="s">
        <v>6</v>
      </c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2:26" ht="18">
      <c r="B114" s="66" t="s">
        <v>94</v>
      </c>
      <c r="C114" s="65">
        <v>4</v>
      </c>
      <c r="D114" s="65">
        <v>4</v>
      </c>
      <c r="E114" s="63">
        <f t="shared" si="1"/>
        <v>8</v>
      </c>
      <c r="F114" s="32"/>
      <c r="G114" s="45" t="s">
        <v>80</v>
      </c>
      <c r="H114" s="47">
        <v>429</v>
      </c>
      <c r="I114" s="32"/>
      <c r="J114" s="32">
        <f>SUM(D105:D200)</f>
        <v>3598</v>
      </c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2:26" ht="18">
      <c r="B115" s="66" t="s">
        <v>51</v>
      </c>
      <c r="C115" s="65">
        <v>24</v>
      </c>
      <c r="D115" s="65">
        <v>56</v>
      </c>
      <c r="E115" s="63">
        <f t="shared" si="1"/>
        <v>80</v>
      </c>
      <c r="F115" s="32"/>
      <c r="G115" s="18" t="s">
        <v>79</v>
      </c>
      <c r="H115" s="7">
        <v>337</v>
      </c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2:26" ht="18">
      <c r="B116" s="66" t="s">
        <v>57</v>
      </c>
      <c r="C116" s="65"/>
      <c r="D116" s="65">
        <v>4</v>
      </c>
      <c r="E116" s="63">
        <f t="shared" si="1"/>
        <v>4</v>
      </c>
      <c r="F116" s="32"/>
      <c r="G116" s="18" t="s">
        <v>85</v>
      </c>
      <c r="H116" s="7">
        <v>258</v>
      </c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2:26" ht="18">
      <c r="B117" s="66" t="s">
        <v>95</v>
      </c>
      <c r="C117" s="65"/>
      <c r="D117" s="65">
        <v>8</v>
      </c>
      <c r="E117" s="63">
        <f t="shared" si="1"/>
        <v>8</v>
      </c>
      <c r="F117" s="32"/>
      <c r="G117" s="18" t="s">
        <v>82</v>
      </c>
      <c r="H117" s="7">
        <v>253</v>
      </c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2:26" ht="18.600000000000001" thickBot="1">
      <c r="B118" s="66" t="s">
        <v>96</v>
      </c>
      <c r="C118" s="65"/>
      <c r="D118" s="65">
        <v>1</v>
      </c>
      <c r="E118" s="63">
        <f t="shared" si="1"/>
        <v>1</v>
      </c>
      <c r="F118" s="32"/>
      <c r="G118" s="17" t="s">
        <v>158</v>
      </c>
      <c r="H118" s="8">
        <v>215</v>
      </c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2:26" ht="18.600000000000001" thickBot="1">
      <c r="B119" s="66" t="s">
        <v>97</v>
      </c>
      <c r="C119" s="65">
        <v>2</v>
      </c>
      <c r="D119" s="65"/>
      <c r="E119" s="63">
        <f t="shared" si="1"/>
        <v>2</v>
      </c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2:26" ht="18.600000000000001" thickBot="1">
      <c r="B120" s="66" t="s">
        <v>98</v>
      </c>
      <c r="C120" s="65">
        <v>5</v>
      </c>
      <c r="D120" s="65">
        <v>7</v>
      </c>
      <c r="E120" s="63">
        <f t="shared" si="1"/>
        <v>12</v>
      </c>
      <c r="F120" s="32"/>
      <c r="G120" s="211" t="s">
        <v>13</v>
      </c>
      <c r="H120" s="213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2:26" ht="18.600000000000001" thickBot="1">
      <c r="B121" s="66" t="s">
        <v>99</v>
      </c>
      <c r="C121" s="65"/>
      <c r="D121" s="65">
        <v>10</v>
      </c>
      <c r="E121" s="63">
        <f t="shared" si="1"/>
        <v>10</v>
      </c>
      <c r="F121" s="32"/>
      <c r="G121" s="45" t="s">
        <v>80</v>
      </c>
      <c r="H121" s="47">
        <v>574</v>
      </c>
      <c r="I121" s="32"/>
      <c r="J121" s="32">
        <f>J106+J114</f>
        <v>5207</v>
      </c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2:26" ht="18.600000000000001" thickBot="1">
      <c r="B122" s="66" t="s">
        <v>65</v>
      </c>
      <c r="C122" s="65">
        <v>18</v>
      </c>
      <c r="D122" s="65">
        <v>67</v>
      </c>
      <c r="E122" s="63">
        <f t="shared" si="1"/>
        <v>85</v>
      </c>
      <c r="F122" s="32"/>
      <c r="G122" s="18" t="s">
        <v>79</v>
      </c>
      <c r="H122" s="4">
        <v>424</v>
      </c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2:26" ht="18.600000000000001" thickBot="1">
      <c r="B123" s="66" t="s">
        <v>67</v>
      </c>
      <c r="C123" s="65">
        <v>25</v>
      </c>
      <c r="D123" s="65">
        <v>57</v>
      </c>
      <c r="E123" s="63">
        <f t="shared" si="1"/>
        <v>82</v>
      </c>
      <c r="F123" s="32"/>
      <c r="G123" s="18" t="s">
        <v>85</v>
      </c>
      <c r="H123" s="4">
        <v>390</v>
      </c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2:26" ht="18.600000000000001" thickBot="1">
      <c r="B124" s="66" t="s">
        <v>100</v>
      </c>
      <c r="C124" s="65"/>
      <c r="D124" s="65">
        <v>8</v>
      </c>
      <c r="E124" s="63">
        <f t="shared" si="1"/>
        <v>8</v>
      </c>
      <c r="F124" s="32"/>
      <c r="G124" s="18" t="s">
        <v>82</v>
      </c>
      <c r="H124" s="4">
        <v>312</v>
      </c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2:26" ht="18.600000000000001" thickBot="1">
      <c r="B125" s="66" t="s">
        <v>73</v>
      </c>
      <c r="C125" s="65">
        <v>70</v>
      </c>
      <c r="D125" s="65">
        <v>128</v>
      </c>
      <c r="E125" s="63">
        <f t="shared" si="1"/>
        <v>198</v>
      </c>
      <c r="F125" s="32"/>
      <c r="G125" s="17" t="s">
        <v>158</v>
      </c>
      <c r="H125" s="23">
        <v>288</v>
      </c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2:26" ht="18">
      <c r="B126" s="66" t="s">
        <v>101</v>
      </c>
      <c r="C126" s="65">
        <v>4</v>
      </c>
      <c r="D126" s="65"/>
      <c r="E126" s="63">
        <f t="shared" si="1"/>
        <v>4</v>
      </c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2:26" ht="18">
      <c r="B127" s="66" t="s">
        <v>52</v>
      </c>
      <c r="C127" s="65">
        <v>122</v>
      </c>
      <c r="D127" s="65">
        <v>161</v>
      </c>
      <c r="E127" s="63">
        <f t="shared" si="1"/>
        <v>283</v>
      </c>
    </row>
    <row r="128" spans="2:26" ht="18">
      <c r="B128" s="66" t="s">
        <v>102</v>
      </c>
      <c r="C128" s="65"/>
      <c r="D128" s="65">
        <v>4</v>
      </c>
      <c r="E128" s="63">
        <f t="shared" si="1"/>
        <v>4</v>
      </c>
    </row>
    <row r="129" spans="2:5" ht="18">
      <c r="B129" s="66" t="s">
        <v>103</v>
      </c>
      <c r="C129" s="65"/>
      <c r="D129" s="65">
        <v>4</v>
      </c>
      <c r="E129" s="63">
        <f t="shared" si="1"/>
        <v>4</v>
      </c>
    </row>
    <row r="130" spans="2:5" ht="18">
      <c r="B130" s="66" t="s">
        <v>104</v>
      </c>
      <c r="C130" s="65"/>
      <c r="D130" s="65">
        <v>15</v>
      </c>
      <c r="E130" s="63">
        <f t="shared" si="1"/>
        <v>15</v>
      </c>
    </row>
    <row r="131" spans="2:5" ht="18">
      <c r="B131" s="66" t="s">
        <v>105</v>
      </c>
      <c r="C131" s="65"/>
      <c r="D131" s="65">
        <v>2</v>
      </c>
      <c r="E131" s="63">
        <f t="shared" si="1"/>
        <v>2</v>
      </c>
    </row>
    <row r="132" spans="2:5" ht="18">
      <c r="B132" s="66" t="s">
        <v>106</v>
      </c>
      <c r="C132" s="65">
        <v>4</v>
      </c>
      <c r="D132" s="65">
        <v>22</v>
      </c>
      <c r="E132" s="63">
        <f t="shared" si="1"/>
        <v>26</v>
      </c>
    </row>
    <row r="133" spans="2:5" ht="18">
      <c r="B133" s="66" t="s">
        <v>107</v>
      </c>
      <c r="C133" s="65">
        <v>5</v>
      </c>
      <c r="D133" s="65">
        <v>9</v>
      </c>
      <c r="E133" s="63">
        <f t="shared" si="1"/>
        <v>14</v>
      </c>
    </row>
    <row r="134" spans="2:5" ht="18">
      <c r="B134" s="66" t="s">
        <v>66</v>
      </c>
      <c r="C134" s="65">
        <v>87</v>
      </c>
      <c r="D134" s="65">
        <v>337</v>
      </c>
      <c r="E134" s="63">
        <f t="shared" si="1"/>
        <v>424</v>
      </c>
    </row>
    <row r="135" spans="2:5" ht="18">
      <c r="B135" s="66" t="s">
        <v>108</v>
      </c>
      <c r="C135" s="65"/>
      <c r="D135" s="65">
        <v>1</v>
      </c>
      <c r="E135" s="63">
        <f t="shared" si="1"/>
        <v>1</v>
      </c>
    </row>
    <row r="136" spans="2:5" ht="18">
      <c r="B136" s="66" t="s">
        <v>76</v>
      </c>
      <c r="C136" s="65">
        <v>5</v>
      </c>
      <c r="D136" s="65">
        <v>39</v>
      </c>
      <c r="E136" s="63">
        <f t="shared" si="1"/>
        <v>44</v>
      </c>
    </row>
    <row r="137" spans="2:5" ht="18">
      <c r="B137" s="66" t="s">
        <v>56</v>
      </c>
      <c r="C137" s="65">
        <v>49</v>
      </c>
      <c r="D137" s="65">
        <v>58</v>
      </c>
      <c r="E137" s="63">
        <f t="shared" si="1"/>
        <v>107</v>
      </c>
    </row>
    <row r="138" spans="2:5" ht="18">
      <c r="B138" s="66" t="s">
        <v>61</v>
      </c>
      <c r="C138" s="65"/>
      <c r="D138" s="65">
        <v>10</v>
      </c>
      <c r="E138" s="63">
        <f t="shared" si="1"/>
        <v>10</v>
      </c>
    </row>
    <row r="139" spans="2:5" ht="18">
      <c r="B139" s="66" t="s">
        <v>109</v>
      </c>
      <c r="C139" s="65"/>
      <c r="D139" s="65">
        <v>13</v>
      </c>
      <c r="E139" s="63">
        <f t="shared" si="1"/>
        <v>13</v>
      </c>
    </row>
    <row r="140" spans="2:5" ht="18">
      <c r="B140" s="66" t="s">
        <v>110</v>
      </c>
      <c r="C140" s="65">
        <v>67</v>
      </c>
      <c r="D140" s="65">
        <v>196</v>
      </c>
      <c r="E140" s="63">
        <f t="shared" si="1"/>
        <v>263</v>
      </c>
    </row>
    <row r="141" spans="2:5" ht="18">
      <c r="B141" s="66" t="s">
        <v>111</v>
      </c>
      <c r="C141" s="65">
        <v>3</v>
      </c>
      <c r="D141" s="65">
        <v>16</v>
      </c>
      <c r="E141" s="63">
        <f t="shared" si="1"/>
        <v>19</v>
      </c>
    </row>
    <row r="142" spans="2:5" ht="18">
      <c r="B142" s="66" t="s">
        <v>112</v>
      </c>
      <c r="C142" s="65"/>
      <c r="D142" s="65">
        <v>1</v>
      </c>
      <c r="E142" s="63">
        <f t="shared" si="1"/>
        <v>1</v>
      </c>
    </row>
    <row r="143" spans="2:5" ht="18">
      <c r="B143" s="66" t="s">
        <v>113</v>
      </c>
      <c r="C143" s="65"/>
      <c r="D143" s="65">
        <v>2</v>
      </c>
      <c r="E143" s="63">
        <f t="shared" si="1"/>
        <v>2</v>
      </c>
    </row>
    <row r="144" spans="2:5" ht="18">
      <c r="B144" s="66" t="s">
        <v>114</v>
      </c>
      <c r="C144" s="65"/>
      <c r="D144" s="65">
        <v>4</v>
      </c>
      <c r="E144" s="63">
        <f t="shared" si="1"/>
        <v>4</v>
      </c>
    </row>
    <row r="145" spans="2:5" ht="18">
      <c r="B145" s="66" t="s">
        <v>115</v>
      </c>
      <c r="C145" s="65"/>
      <c r="D145" s="65">
        <v>5</v>
      </c>
      <c r="E145" s="63">
        <f t="shared" si="1"/>
        <v>5</v>
      </c>
    </row>
    <row r="146" spans="2:5" ht="18">
      <c r="B146" s="66" t="s">
        <v>116</v>
      </c>
      <c r="C146" s="65">
        <v>1</v>
      </c>
      <c r="D146" s="65">
        <v>3</v>
      </c>
      <c r="E146" s="63">
        <f t="shared" si="1"/>
        <v>4</v>
      </c>
    </row>
    <row r="147" spans="2:5" ht="18">
      <c r="B147" s="66" t="s">
        <v>117</v>
      </c>
      <c r="C147" s="65">
        <v>5</v>
      </c>
      <c r="D147" s="65">
        <v>4</v>
      </c>
      <c r="E147" s="63">
        <f t="shared" si="1"/>
        <v>9</v>
      </c>
    </row>
    <row r="148" spans="2:5" ht="18">
      <c r="B148" s="66" t="s">
        <v>118</v>
      </c>
      <c r="C148" s="65">
        <v>6</v>
      </c>
      <c r="D148" s="65">
        <v>31</v>
      </c>
      <c r="E148" s="63">
        <f t="shared" si="1"/>
        <v>37</v>
      </c>
    </row>
    <row r="149" spans="2:5" ht="18">
      <c r="B149" s="66" t="s">
        <v>119</v>
      </c>
      <c r="C149" s="65">
        <v>2</v>
      </c>
      <c r="D149" s="65">
        <v>4</v>
      </c>
      <c r="E149" s="63">
        <f t="shared" si="1"/>
        <v>6</v>
      </c>
    </row>
    <row r="150" spans="2:5" ht="18">
      <c r="B150" s="66" t="s">
        <v>120</v>
      </c>
      <c r="C150" s="65">
        <v>2</v>
      </c>
      <c r="D150" s="65">
        <v>9</v>
      </c>
      <c r="E150" s="63">
        <f t="shared" si="1"/>
        <v>11</v>
      </c>
    </row>
    <row r="151" spans="2:5" ht="18">
      <c r="B151" s="66" t="s">
        <v>121</v>
      </c>
      <c r="C151" s="65">
        <v>2</v>
      </c>
      <c r="D151" s="65"/>
      <c r="E151" s="63">
        <f t="shared" si="1"/>
        <v>2</v>
      </c>
    </row>
    <row r="152" spans="2:5" ht="18">
      <c r="B152" s="66" t="s">
        <v>78</v>
      </c>
      <c r="C152" s="65">
        <v>9</v>
      </c>
      <c r="D152" s="65">
        <v>47</v>
      </c>
      <c r="E152" s="63">
        <f t="shared" si="1"/>
        <v>56</v>
      </c>
    </row>
    <row r="153" spans="2:5" ht="18">
      <c r="B153" s="66" t="s">
        <v>122</v>
      </c>
      <c r="C153" s="65">
        <v>4</v>
      </c>
      <c r="D153" s="65"/>
      <c r="E153" s="63">
        <f t="shared" si="1"/>
        <v>4</v>
      </c>
    </row>
    <row r="154" spans="2:5" ht="18">
      <c r="B154" s="66" t="s">
        <v>123</v>
      </c>
      <c r="C154" s="65">
        <v>11</v>
      </c>
      <c r="D154" s="65">
        <v>7</v>
      </c>
      <c r="E154" s="63">
        <f t="shared" si="1"/>
        <v>18</v>
      </c>
    </row>
    <row r="155" spans="2:5" ht="18">
      <c r="B155" s="66" t="s">
        <v>124</v>
      </c>
      <c r="C155" s="65"/>
      <c r="D155" s="65">
        <v>4</v>
      </c>
      <c r="E155" s="63">
        <f t="shared" si="1"/>
        <v>4</v>
      </c>
    </row>
    <row r="156" spans="2:5" ht="18">
      <c r="B156" s="66" t="s">
        <v>125</v>
      </c>
      <c r="C156" s="65">
        <v>13</v>
      </c>
      <c r="D156" s="65">
        <v>2</v>
      </c>
      <c r="E156" s="63">
        <f t="shared" si="1"/>
        <v>15</v>
      </c>
    </row>
    <row r="157" spans="2:5" ht="18">
      <c r="B157" s="66" t="s">
        <v>126</v>
      </c>
      <c r="C157" s="65">
        <v>4</v>
      </c>
      <c r="D157" s="65">
        <v>26</v>
      </c>
      <c r="E157" s="63">
        <f t="shared" si="1"/>
        <v>30</v>
      </c>
    </row>
    <row r="158" spans="2:5" ht="18">
      <c r="B158" s="66" t="s">
        <v>62</v>
      </c>
      <c r="C158" s="65"/>
      <c r="D158" s="65">
        <v>21</v>
      </c>
      <c r="E158" s="63">
        <f t="shared" si="1"/>
        <v>21</v>
      </c>
    </row>
    <row r="159" spans="2:5" ht="18">
      <c r="B159" s="66" t="s">
        <v>127</v>
      </c>
      <c r="C159" s="65"/>
      <c r="D159" s="65">
        <v>3</v>
      </c>
      <c r="E159" s="63">
        <f t="shared" si="1"/>
        <v>3</v>
      </c>
    </row>
    <row r="160" spans="2:5" ht="18">
      <c r="B160" s="66" t="s">
        <v>128</v>
      </c>
      <c r="C160" s="65">
        <v>12</v>
      </c>
      <c r="D160" s="65">
        <v>16</v>
      </c>
      <c r="E160" s="63">
        <f t="shared" si="1"/>
        <v>28</v>
      </c>
    </row>
    <row r="161" spans="2:5" ht="18">
      <c r="B161" s="66" t="s">
        <v>59</v>
      </c>
      <c r="C161" s="65">
        <v>42</v>
      </c>
      <c r="D161" s="65">
        <v>44</v>
      </c>
      <c r="E161" s="63">
        <f t="shared" si="1"/>
        <v>86</v>
      </c>
    </row>
    <row r="162" spans="2:5" ht="18">
      <c r="B162" s="66" t="s">
        <v>129</v>
      </c>
      <c r="C162" s="65">
        <v>15</v>
      </c>
      <c r="D162" s="65">
        <v>40</v>
      </c>
      <c r="E162" s="63">
        <f t="shared" si="1"/>
        <v>55</v>
      </c>
    </row>
    <row r="163" spans="2:5" ht="18">
      <c r="B163" s="66" t="s">
        <v>130</v>
      </c>
      <c r="C163" s="65">
        <v>5</v>
      </c>
      <c r="D163" s="65">
        <v>15</v>
      </c>
      <c r="E163" s="63">
        <f t="shared" si="1"/>
        <v>20</v>
      </c>
    </row>
    <row r="164" spans="2:5" ht="18">
      <c r="B164" s="66" t="s">
        <v>131</v>
      </c>
      <c r="C164" s="65">
        <v>19</v>
      </c>
      <c r="D164" s="65">
        <v>37</v>
      </c>
      <c r="E164" s="63">
        <f t="shared" si="1"/>
        <v>56</v>
      </c>
    </row>
    <row r="165" spans="2:5" ht="18">
      <c r="B165" s="66" t="s">
        <v>132</v>
      </c>
      <c r="C165" s="65">
        <v>14</v>
      </c>
      <c r="D165" s="65">
        <v>24</v>
      </c>
      <c r="E165" s="63">
        <f t="shared" si="1"/>
        <v>38</v>
      </c>
    </row>
    <row r="166" spans="2:5" ht="18">
      <c r="B166" s="66" t="s">
        <v>53</v>
      </c>
      <c r="C166" s="65">
        <v>145</v>
      </c>
      <c r="D166" s="65">
        <v>429</v>
      </c>
      <c r="E166" s="63">
        <f t="shared" si="1"/>
        <v>574</v>
      </c>
    </row>
    <row r="167" spans="2:5" ht="18">
      <c r="B167" s="66" t="s">
        <v>133</v>
      </c>
      <c r="C167" s="65">
        <v>10</v>
      </c>
      <c r="D167" s="65">
        <v>21</v>
      </c>
      <c r="E167" s="63">
        <f t="shared" si="1"/>
        <v>31</v>
      </c>
    </row>
    <row r="168" spans="2:5" ht="18">
      <c r="B168" s="66" t="s">
        <v>134</v>
      </c>
      <c r="C168" s="65">
        <v>8</v>
      </c>
      <c r="D168" s="65">
        <v>8</v>
      </c>
      <c r="E168" s="63">
        <f t="shared" si="1"/>
        <v>16</v>
      </c>
    </row>
    <row r="169" spans="2:5" ht="18">
      <c r="B169" s="66" t="s">
        <v>135</v>
      </c>
      <c r="C169" s="65">
        <v>53</v>
      </c>
      <c r="D169" s="65">
        <v>48</v>
      </c>
      <c r="E169" s="63">
        <f t="shared" si="1"/>
        <v>101</v>
      </c>
    </row>
    <row r="170" spans="2:5" ht="18">
      <c r="B170" s="66" t="s">
        <v>64</v>
      </c>
      <c r="C170" s="65">
        <v>48</v>
      </c>
      <c r="D170" s="65">
        <v>160</v>
      </c>
      <c r="E170" s="63">
        <f t="shared" ref="E170:E200" si="2">C170+D170</f>
        <v>208</v>
      </c>
    </row>
    <row r="171" spans="2:5" ht="18">
      <c r="B171" s="66" t="s">
        <v>69</v>
      </c>
      <c r="C171" s="65"/>
      <c r="D171" s="65">
        <v>1</v>
      </c>
      <c r="E171" s="63">
        <f t="shared" si="2"/>
        <v>1</v>
      </c>
    </row>
    <row r="172" spans="2:5" ht="18">
      <c r="B172" s="66" t="s">
        <v>136</v>
      </c>
      <c r="C172" s="65">
        <v>1</v>
      </c>
      <c r="D172" s="65">
        <v>6</v>
      </c>
      <c r="E172" s="63">
        <f t="shared" si="2"/>
        <v>7</v>
      </c>
    </row>
    <row r="173" spans="2:5" ht="18">
      <c r="B173" s="66" t="s">
        <v>137</v>
      </c>
      <c r="C173" s="65">
        <v>6</v>
      </c>
      <c r="D173" s="65">
        <v>1</v>
      </c>
      <c r="E173" s="63">
        <f t="shared" si="2"/>
        <v>7</v>
      </c>
    </row>
    <row r="174" spans="2:5" ht="18">
      <c r="B174" s="66" t="s">
        <v>50</v>
      </c>
      <c r="C174" s="65">
        <v>31</v>
      </c>
      <c r="D174" s="65">
        <v>106</v>
      </c>
      <c r="E174" s="63">
        <f t="shared" si="2"/>
        <v>137</v>
      </c>
    </row>
    <row r="175" spans="2:5" ht="18">
      <c r="B175" s="66" t="s">
        <v>58</v>
      </c>
      <c r="C175" s="65">
        <v>17</v>
      </c>
      <c r="D175" s="65">
        <v>24</v>
      </c>
      <c r="E175" s="63">
        <f t="shared" si="2"/>
        <v>41</v>
      </c>
    </row>
    <row r="176" spans="2:5" ht="18">
      <c r="B176" s="66" t="s">
        <v>138</v>
      </c>
      <c r="C176" s="65">
        <v>5</v>
      </c>
      <c r="D176" s="65">
        <v>24</v>
      </c>
      <c r="E176" s="63">
        <f t="shared" si="2"/>
        <v>29</v>
      </c>
    </row>
    <row r="177" spans="1:5" ht="18">
      <c r="B177" s="66" t="s">
        <v>139</v>
      </c>
      <c r="C177" s="65">
        <v>1</v>
      </c>
      <c r="D177" s="65">
        <v>4</v>
      </c>
      <c r="E177" s="63">
        <f t="shared" si="2"/>
        <v>5</v>
      </c>
    </row>
    <row r="178" spans="1:5" ht="18">
      <c r="B178" s="66" t="s">
        <v>63</v>
      </c>
      <c r="C178" s="65">
        <v>73</v>
      </c>
      <c r="D178" s="65">
        <v>215</v>
      </c>
      <c r="E178" s="63">
        <f t="shared" si="2"/>
        <v>288</v>
      </c>
    </row>
    <row r="179" spans="1:5" ht="18">
      <c r="B179" s="66" t="s">
        <v>140</v>
      </c>
      <c r="C179" s="65"/>
      <c r="D179" s="65">
        <v>1</v>
      </c>
      <c r="E179" s="63">
        <f t="shared" si="2"/>
        <v>1</v>
      </c>
    </row>
    <row r="180" spans="1:5" ht="18">
      <c r="A180" s="163"/>
      <c r="B180" s="66" t="s">
        <v>75</v>
      </c>
      <c r="C180" s="65">
        <v>11</v>
      </c>
      <c r="D180" s="65">
        <v>51</v>
      </c>
      <c r="E180" s="63">
        <f t="shared" si="2"/>
        <v>62</v>
      </c>
    </row>
    <row r="181" spans="1:5" ht="18">
      <c r="A181" s="163"/>
      <c r="B181" s="66" t="s">
        <v>141</v>
      </c>
      <c r="C181" s="65">
        <v>37</v>
      </c>
      <c r="D181" s="65">
        <v>10</v>
      </c>
      <c r="E181" s="63">
        <f t="shared" si="2"/>
        <v>47</v>
      </c>
    </row>
    <row r="182" spans="1:5" ht="18">
      <c r="A182" s="163"/>
      <c r="B182" s="66" t="s">
        <v>70</v>
      </c>
      <c r="C182" s="65">
        <v>46</v>
      </c>
      <c r="D182" s="65">
        <v>98</v>
      </c>
      <c r="E182" s="63">
        <f t="shared" si="2"/>
        <v>144</v>
      </c>
    </row>
    <row r="183" spans="1:5" ht="18">
      <c r="A183" s="163"/>
      <c r="B183" s="66" t="s">
        <v>71</v>
      </c>
      <c r="C183" s="65"/>
      <c r="D183" s="65">
        <v>8</v>
      </c>
      <c r="E183" s="63">
        <f t="shared" si="2"/>
        <v>8</v>
      </c>
    </row>
    <row r="184" spans="1:5" ht="18">
      <c r="A184" s="163"/>
      <c r="B184" s="66" t="s">
        <v>54</v>
      </c>
      <c r="C184" s="65">
        <v>47</v>
      </c>
      <c r="D184" s="65">
        <v>74</v>
      </c>
      <c r="E184" s="63">
        <f t="shared" si="2"/>
        <v>121</v>
      </c>
    </row>
    <row r="185" spans="1:5" ht="18">
      <c r="A185" s="163"/>
      <c r="B185" s="66" t="s">
        <v>142</v>
      </c>
      <c r="C185" s="65">
        <v>5</v>
      </c>
      <c r="D185" s="65">
        <v>16</v>
      </c>
      <c r="E185" s="63">
        <f t="shared" si="2"/>
        <v>21</v>
      </c>
    </row>
    <row r="186" spans="1:5" ht="18">
      <c r="A186" s="163"/>
      <c r="B186" s="66" t="s">
        <v>143</v>
      </c>
      <c r="C186" s="65"/>
      <c r="D186" s="65">
        <v>2</v>
      </c>
      <c r="E186" s="63">
        <f t="shared" si="2"/>
        <v>2</v>
      </c>
    </row>
    <row r="187" spans="1:5" ht="18">
      <c r="A187" s="163"/>
      <c r="B187" s="66" t="s">
        <v>144</v>
      </c>
      <c r="C187" s="65"/>
      <c r="D187" s="65">
        <v>3</v>
      </c>
      <c r="E187" s="63">
        <f t="shared" si="2"/>
        <v>3</v>
      </c>
    </row>
    <row r="188" spans="1:5" ht="18">
      <c r="A188" s="163"/>
      <c r="B188" s="66" t="s">
        <v>145</v>
      </c>
      <c r="C188" s="65">
        <v>7</v>
      </c>
      <c r="D188" s="65">
        <v>23</v>
      </c>
      <c r="E188" s="63">
        <f t="shared" si="2"/>
        <v>30</v>
      </c>
    </row>
    <row r="189" spans="1:5" ht="18">
      <c r="A189" s="163"/>
      <c r="B189" s="66" t="s">
        <v>146</v>
      </c>
      <c r="C189" s="65"/>
      <c r="D189" s="65">
        <v>18</v>
      </c>
      <c r="E189" s="63">
        <f t="shared" si="2"/>
        <v>18</v>
      </c>
    </row>
    <row r="190" spans="1:5" ht="18">
      <c r="A190" s="163"/>
      <c r="B190" s="66" t="s">
        <v>147</v>
      </c>
      <c r="C190" s="65">
        <v>23</v>
      </c>
      <c r="D190" s="65">
        <v>39</v>
      </c>
      <c r="E190" s="63">
        <f t="shared" si="2"/>
        <v>62</v>
      </c>
    </row>
    <row r="191" spans="1:5" ht="18">
      <c r="A191" s="163"/>
      <c r="B191" s="66" t="s">
        <v>74</v>
      </c>
      <c r="C191" s="65">
        <v>9</v>
      </c>
      <c r="D191" s="65">
        <v>7</v>
      </c>
      <c r="E191" s="63">
        <f t="shared" si="2"/>
        <v>16</v>
      </c>
    </row>
    <row r="192" spans="1:5" ht="18">
      <c r="A192" s="163"/>
      <c r="B192" s="66" t="s">
        <v>148</v>
      </c>
      <c r="C192" s="65">
        <v>16</v>
      </c>
      <c r="D192" s="65">
        <v>18</v>
      </c>
      <c r="E192" s="63">
        <f t="shared" si="2"/>
        <v>34</v>
      </c>
    </row>
    <row r="193" spans="1:5" ht="18">
      <c r="A193" s="163"/>
      <c r="B193" s="66" t="s">
        <v>149</v>
      </c>
      <c r="C193" s="65">
        <v>1</v>
      </c>
      <c r="D193" s="65">
        <v>7</v>
      </c>
      <c r="E193" s="63">
        <f t="shared" si="2"/>
        <v>8</v>
      </c>
    </row>
    <row r="194" spans="1:5" ht="18">
      <c r="A194" s="163"/>
      <c r="B194" s="66" t="s">
        <v>77</v>
      </c>
      <c r="C194" s="65">
        <v>69</v>
      </c>
      <c r="D194" s="65">
        <v>78</v>
      </c>
      <c r="E194" s="63">
        <f t="shared" si="2"/>
        <v>147</v>
      </c>
    </row>
    <row r="195" spans="1:5" ht="18">
      <c r="A195" s="163"/>
      <c r="B195" s="66" t="s">
        <v>150</v>
      </c>
      <c r="C195" s="65"/>
      <c r="D195" s="65">
        <v>4</v>
      </c>
      <c r="E195" s="63">
        <f t="shared" si="2"/>
        <v>4</v>
      </c>
    </row>
    <row r="196" spans="1:5" ht="18">
      <c r="A196" s="163"/>
      <c r="B196" s="66" t="s">
        <v>72</v>
      </c>
      <c r="C196" s="65">
        <v>15</v>
      </c>
      <c r="D196" s="65">
        <v>75</v>
      </c>
      <c r="E196" s="63">
        <f t="shared" si="2"/>
        <v>90</v>
      </c>
    </row>
    <row r="197" spans="1:5" ht="18">
      <c r="A197" s="163"/>
      <c r="B197" s="66" t="s">
        <v>151</v>
      </c>
      <c r="C197" s="65">
        <v>22</v>
      </c>
      <c r="D197" s="65">
        <v>19</v>
      </c>
      <c r="E197" s="63">
        <f t="shared" si="2"/>
        <v>41</v>
      </c>
    </row>
    <row r="198" spans="1:5" ht="18">
      <c r="A198" s="163"/>
      <c r="B198" s="66" t="s">
        <v>152</v>
      </c>
      <c r="C198" s="65">
        <v>12</v>
      </c>
      <c r="D198" s="65">
        <v>15</v>
      </c>
      <c r="E198" s="63">
        <f t="shared" si="2"/>
        <v>27</v>
      </c>
    </row>
    <row r="199" spans="1:5" ht="18">
      <c r="A199" s="163"/>
      <c r="B199" s="66" t="s">
        <v>153</v>
      </c>
      <c r="C199" s="65">
        <v>1</v>
      </c>
      <c r="D199" s="65">
        <v>6</v>
      </c>
      <c r="E199" s="63">
        <f t="shared" si="2"/>
        <v>7</v>
      </c>
    </row>
    <row r="200" spans="1:5" ht="18">
      <c r="A200" s="163"/>
      <c r="B200" s="66" t="s">
        <v>154</v>
      </c>
      <c r="C200" s="65">
        <v>11</v>
      </c>
      <c r="D200" s="65">
        <v>6</v>
      </c>
      <c r="E200" s="63">
        <f t="shared" si="2"/>
        <v>17</v>
      </c>
    </row>
    <row r="201" spans="1:5">
      <c r="B201" s="72" t="s">
        <v>155</v>
      </c>
      <c r="C201">
        <v>37</v>
      </c>
      <c r="D201">
        <v>85</v>
      </c>
    </row>
    <row r="202" spans="1:5">
      <c r="B202" s="72" t="s">
        <v>156</v>
      </c>
      <c r="D202">
        <v>1</v>
      </c>
    </row>
    <row r="203" spans="1:5">
      <c r="B203" s="72" t="s">
        <v>68</v>
      </c>
      <c r="C203">
        <v>59</v>
      </c>
      <c r="D203">
        <v>253</v>
      </c>
    </row>
    <row r="204" spans="1:5">
      <c r="B204" s="72" t="s">
        <v>157</v>
      </c>
      <c r="D204">
        <v>4</v>
      </c>
    </row>
  </sheetData>
  <mergeCells count="6">
    <mergeCell ref="G120:H120"/>
    <mergeCell ref="G11:H11"/>
    <mergeCell ref="G19:H19"/>
    <mergeCell ref="G3:H3"/>
    <mergeCell ref="G104:H104"/>
    <mergeCell ref="G112:H112"/>
  </mergeCells>
  <conditionalFormatting sqref="C105:D150 D115:D200 C119:C200">
    <cfRule type="top10" dxfId="23" priority="28" rank="5"/>
  </conditionalFormatting>
  <conditionalFormatting sqref="D105:D200">
    <cfRule type="top10" dxfId="22" priority="29" rank="5"/>
  </conditionalFormatting>
  <conditionalFormatting sqref="C105:D150 D115:D200 C119:C200">
    <cfRule type="top10" dxfId="21" priority="30" percent="1" rank="5"/>
  </conditionalFormatting>
  <conditionalFormatting sqref="C4:D100">
    <cfRule type="top10" dxfId="20" priority="31" rank="5"/>
  </conditionalFormatting>
  <conditionalFormatting sqref="D4:D100">
    <cfRule type="top10" dxfId="19" priority="33" rank="5"/>
  </conditionalFormatting>
  <conditionalFormatting sqref="C4:D100">
    <cfRule type="top10" dxfId="18" priority="35" percent="1" rank="5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FF00"/>
  </sheetPr>
  <dimension ref="A1:J800"/>
  <sheetViews>
    <sheetView workbookViewId="0">
      <selection activeCell="C4" sqref="C4"/>
    </sheetView>
  </sheetViews>
  <sheetFormatPr baseColWidth="10" defaultColWidth="9.109375" defaultRowHeight="14.4"/>
  <cols>
    <col min="9" max="9" width="9.109375" style="103"/>
  </cols>
  <sheetData>
    <row r="1" spans="1:10" ht="15.6">
      <c r="A1" s="214" t="s">
        <v>27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5.6">
      <c r="A2" s="215" t="s">
        <v>28</v>
      </c>
      <c r="B2" s="215"/>
      <c r="C2" s="215"/>
      <c r="D2" s="215"/>
      <c r="E2" s="215"/>
      <c r="F2" s="215"/>
      <c r="G2" s="215"/>
      <c r="H2" s="215"/>
      <c r="I2" s="215"/>
      <c r="J2" s="215"/>
    </row>
    <row r="3" spans="1:10">
      <c r="A3" s="99" t="s">
        <v>29</v>
      </c>
      <c r="B3" s="100">
        <v>44516</v>
      </c>
      <c r="C3" s="216" t="s">
        <v>49</v>
      </c>
      <c r="D3" s="216"/>
      <c r="E3" s="216"/>
      <c r="F3" s="99"/>
      <c r="G3" s="216" t="s">
        <v>48</v>
      </c>
      <c r="H3" s="216"/>
      <c r="I3" s="216"/>
    </row>
    <row r="4" spans="1:10">
      <c r="A4" s="99" t="s">
        <v>30</v>
      </c>
      <c r="B4" s="99"/>
      <c r="C4" s="99" t="s">
        <v>11</v>
      </c>
      <c r="D4" s="99"/>
      <c r="E4" s="99" t="s">
        <v>31</v>
      </c>
      <c r="F4" s="99"/>
      <c r="G4" s="99" t="s">
        <v>32</v>
      </c>
      <c r="H4" s="99"/>
      <c r="I4" s="101" t="s">
        <v>33</v>
      </c>
      <c r="J4" s="99"/>
    </row>
    <row r="5" spans="1:10">
      <c r="A5" s="3"/>
      <c r="B5" s="3"/>
      <c r="C5" s="3"/>
      <c r="D5" s="3"/>
      <c r="E5" s="3"/>
      <c r="F5" s="3"/>
      <c r="G5" s="3"/>
      <c r="H5" s="3"/>
      <c r="I5" s="102"/>
      <c r="J5" s="3"/>
    </row>
    <row r="6" spans="1:10">
      <c r="A6">
        <v>1</v>
      </c>
      <c r="C6">
        <v>6</v>
      </c>
      <c r="E6" s="186">
        <v>315</v>
      </c>
      <c r="G6" s="185">
        <v>6</v>
      </c>
      <c r="I6" s="184">
        <v>19047.619047619046</v>
      </c>
    </row>
    <row r="7" spans="1:10">
      <c r="A7">
        <v>1</v>
      </c>
      <c r="C7">
        <v>7</v>
      </c>
      <c r="E7" s="186">
        <v>660</v>
      </c>
      <c r="G7" s="185">
        <v>21</v>
      </c>
      <c r="I7" s="184">
        <v>31818.18181818182</v>
      </c>
    </row>
    <row r="8" spans="1:10">
      <c r="A8">
        <v>1</v>
      </c>
      <c r="C8">
        <v>11</v>
      </c>
      <c r="E8" s="186">
        <v>660</v>
      </c>
      <c r="G8" s="185">
        <v>0</v>
      </c>
      <c r="I8" s="184">
        <v>0</v>
      </c>
    </row>
    <row r="9" spans="1:10">
      <c r="A9">
        <v>1</v>
      </c>
      <c r="C9">
        <v>12</v>
      </c>
      <c r="E9" s="186">
        <v>600</v>
      </c>
      <c r="G9" s="185">
        <v>0</v>
      </c>
      <c r="I9" s="184">
        <v>0</v>
      </c>
    </row>
    <row r="10" spans="1:10">
      <c r="A10" t="s">
        <v>159</v>
      </c>
      <c r="E10" s="186"/>
      <c r="G10" s="185"/>
      <c r="I10" s="184"/>
    </row>
    <row r="11" spans="1:10">
      <c r="A11" s="222" t="s">
        <v>160</v>
      </c>
      <c r="B11" s="222"/>
      <c r="C11" s="222"/>
      <c r="D11" s="222"/>
      <c r="E11" s="223">
        <v>2235</v>
      </c>
      <c r="F11" s="222"/>
      <c r="G11" s="224">
        <v>27</v>
      </c>
      <c r="H11" s="222"/>
      <c r="I11" s="225">
        <v>12080.536912751679</v>
      </c>
    </row>
    <row r="12" spans="1:10">
      <c r="E12" s="186"/>
      <c r="G12" s="185"/>
      <c r="I12" s="184"/>
    </row>
    <row r="13" spans="1:10">
      <c r="A13">
        <v>1</v>
      </c>
      <c r="C13">
        <v>14</v>
      </c>
      <c r="E13" s="186">
        <v>1324</v>
      </c>
      <c r="G13" s="185">
        <v>0</v>
      </c>
      <c r="I13" s="184">
        <v>0</v>
      </c>
    </row>
    <row r="14" spans="1:10">
      <c r="A14">
        <v>1</v>
      </c>
      <c r="C14">
        <v>16</v>
      </c>
      <c r="E14" s="186">
        <v>960</v>
      </c>
      <c r="G14" s="185">
        <v>36</v>
      </c>
      <c r="I14" s="184">
        <v>37500</v>
      </c>
    </row>
    <row r="15" spans="1:10">
      <c r="A15">
        <v>1</v>
      </c>
      <c r="C15">
        <v>18</v>
      </c>
      <c r="E15" s="186">
        <v>1395</v>
      </c>
      <c r="G15" s="185">
        <v>0</v>
      </c>
      <c r="I15" s="184">
        <v>0</v>
      </c>
    </row>
    <row r="16" spans="1:10">
      <c r="A16">
        <v>1</v>
      </c>
      <c r="C16">
        <v>19</v>
      </c>
      <c r="E16" s="186">
        <v>2090</v>
      </c>
      <c r="G16" s="185">
        <v>0</v>
      </c>
      <c r="I16" s="184">
        <v>0</v>
      </c>
    </row>
    <row r="17" spans="1:9">
      <c r="A17">
        <v>1</v>
      </c>
      <c r="C17">
        <v>23</v>
      </c>
      <c r="E17" s="186">
        <v>1335</v>
      </c>
      <c r="G17" s="185">
        <v>5</v>
      </c>
      <c r="I17" s="184">
        <v>3745.318352059925</v>
      </c>
    </row>
    <row r="18" spans="1:9">
      <c r="A18" t="s">
        <v>159</v>
      </c>
      <c r="E18" s="186"/>
      <c r="G18" s="185"/>
      <c r="I18" s="184"/>
    </row>
    <row r="19" spans="1:9">
      <c r="A19" s="222" t="s">
        <v>161</v>
      </c>
      <c r="B19" s="222"/>
      <c r="C19" s="222"/>
      <c r="D19" s="222"/>
      <c r="E19" s="223">
        <v>7104</v>
      </c>
      <c r="F19" s="222"/>
      <c r="G19" s="224">
        <v>41</v>
      </c>
      <c r="H19" s="222"/>
      <c r="I19" s="225">
        <v>5771.3963963963961</v>
      </c>
    </row>
    <row r="20" spans="1:9">
      <c r="E20" s="186"/>
      <c r="G20" s="185"/>
      <c r="I20" s="184"/>
    </row>
    <row r="21" spans="1:9">
      <c r="A21">
        <v>1</v>
      </c>
      <c r="C21">
        <v>34</v>
      </c>
      <c r="E21" s="186">
        <v>600</v>
      </c>
      <c r="G21" s="185">
        <v>0</v>
      </c>
      <c r="I21" s="184">
        <v>0</v>
      </c>
    </row>
    <row r="22" spans="1:9">
      <c r="A22" t="s">
        <v>159</v>
      </c>
      <c r="E22" s="186"/>
      <c r="G22" s="185"/>
      <c r="I22" s="184"/>
    </row>
    <row r="23" spans="1:9">
      <c r="A23" s="222" t="s">
        <v>162</v>
      </c>
      <c r="B23" s="222"/>
      <c r="C23" s="222"/>
      <c r="D23" s="222"/>
      <c r="E23" s="223">
        <v>600</v>
      </c>
      <c r="F23" s="222"/>
      <c r="G23" s="224">
        <v>0</v>
      </c>
      <c r="H23" s="222"/>
      <c r="I23" s="225">
        <v>0</v>
      </c>
    </row>
    <row r="24" spans="1:9">
      <c r="E24" s="186"/>
      <c r="G24" s="185"/>
      <c r="I24" s="184"/>
    </row>
    <row r="25" spans="1:9">
      <c r="A25">
        <v>1</v>
      </c>
      <c r="C25">
        <v>37</v>
      </c>
      <c r="E25" s="186">
        <v>1410</v>
      </c>
      <c r="G25" s="185">
        <v>0</v>
      </c>
      <c r="I25" s="184">
        <v>0</v>
      </c>
    </row>
    <row r="26" spans="1:9">
      <c r="A26">
        <v>1</v>
      </c>
      <c r="C26">
        <v>41</v>
      </c>
      <c r="E26" s="186">
        <v>348</v>
      </c>
      <c r="G26" s="185">
        <v>0</v>
      </c>
      <c r="I26" s="184">
        <v>0</v>
      </c>
    </row>
    <row r="27" spans="1:9">
      <c r="A27">
        <v>1</v>
      </c>
      <c r="C27">
        <v>47</v>
      </c>
      <c r="E27" s="186">
        <v>1560</v>
      </c>
      <c r="G27" s="185">
        <v>4</v>
      </c>
      <c r="I27" s="184">
        <v>2564.102564102564</v>
      </c>
    </row>
    <row r="28" spans="1:9">
      <c r="A28" t="s">
        <v>159</v>
      </c>
      <c r="E28" s="186"/>
      <c r="G28" s="185"/>
      <c r="I28" s="184"/>
    </row>
    <row r="29" spans="1:9">
      <c r="A29" s="222" t="s">
        <v>163</v>
      </c>
      <c r="B29" s="222"/>
      <c r="C29" s="222"/>
      <c r="D29" s="222"/>
      <c r="E29" s="223">
        <v>3318</v>
      </c>
      <c r="F29" s="222"/>
      <c r="G29" s="224">
        <v>4</v>
      </c>
      <c r="H29" s="222"/>
      <c r="I29" s="225">
        <v>1205.5455093429778</v>
      </c>
    </row>
    <row r="30" spans="1:9">
      <c r="E30" s="186"/>
      <c r="G30" s="185"/>
      <c r="I30" s="184"/>
    </row>
    <row r="31" spans="1:9">
      <c r="A31">
        <v>1</v>
      </c>
      <c r="C31">
        <v>54</v>
      </c>
      <c r="E31" s="186">
        <v>848</v>
      </c>
      <c r="G31" s="185">
        <v>20</v>
      </c>
      <c r="I31" s="184">
        <v>23584.905660377357</v>
      </c>
    </row>
    <row r="32" spans="1:9">
      <c r="A32" t="s">
        <v>159</v>
      </c>
      <c r="E32" s="186"/>
      <c r="G32" s="185"/>
      <c r="I32" s="184"/>
    </row>
    <row r="33" spans="1:9">
      <c r="A33" s="222" t="s">
        <v>164</v>
      </c>
      <c r="B33" s="222"/>
      <c r="C33" s="222"/>
      <c r="D33" s="222"/>
      <c r="E33" s="223">
        <v>848</v>
      </c>
      <c r="F33" s="222"/>
      <c r="G33" s="224">
        <v>20</v>
      </c>
      <c r="H33" s="222"/>
      <c r="I33" s="225">
        <v>23584.905660377357</v>
      </c>
    </row>
    <row r="34" spans="1:9">
      <c r="E34" s="186"/>
      <c r="G34" s="185"/>
      <c r="I34" s="184"/>
    </row>
    <row r="35" spans="1:9">
      <c r="A35">
        <v>1</v>
      </c>
      <c r="C35">
        <v>61</v>
      </c>
      <c r="E35" s="186">
        <v>885</v>
      </c>
      <c r="G35" s="185">
        <v>0</v>
      </c>
      <c r="I35" s="184">
        <v>0</v>
      </c>
    </row>
    <row r="36" spans="1:9">
      <c r="A36">
        <v>1</v>
      </c>
      <c r="C36">
        <v>62</v>
      </c>
      <c r="E36" s="186">
        <v>240</v>
      </c>
      <c r="G36" s="185">
        <v>0</v>
      </c>
      <c r="I36" s="184">
        <v>0</v>
      </c>
    </row>
    <row r="37" spans="1:9">
      <c r="A37">
        <v>1</v>
      </c>
      <c r="C37">
        <v>67</v>
      </c>
      <c r="E37" s="186">
        <v>720</v>
      </c>
      <c r="G37" s="185">
        <v>22</v>
      </c>
      <c r="I37" s="184">
        <v>30555.555555555555</v>
      </c>
    </row>
    <row r="38" spans="1:9">
      <c r="A38">
        <v>1</v>
      </c>
      <c r="C38">
        <v>69</v>
      </c>
      <c r="E38" s="186">
        <v>1020</v>
      </c>
      <c r="G38" s="185">
        <v>0</v>
      </c>
      <c r="I38" s="184">
        <v>0</v>
      </c>
    </row>
    <row r="39" spans="1:9">
      <c r="A39" t="s">
        <v>159</v>
      </c>
      <c r="E39" s="186"/>
      <c r="G39" s="185"/>
      <c r="I39" s="184"/>
    </row>
    <row r="40" spans="1:9">
      <c r="A40" s="222" t="s">
        <v>165</v>
      </c>
      <c r="B40" s="222"/>
      <c r="C40" s="222"/>
      <c r="D40" s="222"/>
      <c r="E40" s="223">
        <v>2865</v>
      </c>
      <c r="F40" s="222"/>
      <c r="G40" s="224">
        <v>22</v>
      </c>
      <c r="H40" s="222"/>
      <c r="I40" s="225">
        <v>7678.8830715532285</v>
      </c>
    </row>
    <row r="41" spans="1:9">
      <c r="E41" s="186"/>
      <c r="G41" s="185"/>
      <c r="I41" s="184"/>
    </row>
    <row r="42" spans="1:9">
      <c r="A42">
        <v>1</v>
      </c>
      <c r="C42">
        <v>91</v>
      </c>
      <c r="E42" s="186">
        <v>0</v>
      </c>
      <c r="G42" s="185">
        <v>3</v>
      </c>
      <c r="I42" s="184">
        <v>0</v>
      </c>
    </row>
    <row r="43" spans="1:9">
      <c r="E43" s="186"/>
      <c r="G43" s="185"/>
      <c r="I43" s="184"/>
    </row>
    <row r="44" spans="1:9">
      <c r="A44" t="s">
        <v>159</v>
      </c>
      <c r="E44" s="186"/>
      <c r="G44" s="185"/>
      <c r="I44" s="184"/>
    </row>
    <row r="45" spans="1:9">
      <c r="A45" s="222" t="s">
        <v>166</v>
      </c>
      <c r="B45" s="222"/>
      <c r="C45" s="222"/>
      <c r="D45" s="222"/>
      <c r="E45" s="223">
        <v>16970</v>
      </c>
      <c r="F45" s="222"/>
      <c r="G45" s="224">
        <v>117</v>
      </c>
      <c r="H45" s="222"/>
      <c r="I45" s="225">
        <v>6894.5197407189162</v>
      </c>
    </row>
    <row r="46" spans="1:9">
      <c r="E46" s="186"/>
      <c r="G46" s="185"/>
      <c r="I46" s="184"/>
    </row>
    <row r="47" spans="1:9">
      <c r="E47" s="186"/>
      <c r="G47" s="185"/>
      <c r="I47" s="184"/>
    </row>
    <row r="48" spans="1:9">
      <c r="E48" s="186"/>
      <c r="G48" s="185"/>
      <c r="I48" s="184"/>
    </row>
    <row r="49" spans="1:9" ht="15.6">
      <c r="A49" s="226" t="s">
        <v>30</v>
      </c>
      <c r="B49" s="226"/>
      <c r="C49" s="226" t="s">
        <v>11</v>
      </c>
      <c r="D49" s="226"/>
      <c r="E49" s="227" t="s">
        <v>31</v>
      </c>
      <c r="F49" s="226"/>
      <c r="G49" s="228" t="s">
        <v>32</v>
      </c>
      <c r="H49" s="226"/>
      <c r="I49" s="229" t="s">
        <v>33</v>
      </c>
    </row>
    <row r="50" spans="1:9">
      <c r="A50" t="s">
        <v>159</v>
      </c>
      <c r="E50" s="186"/>
      <c r="G50" s="185"/>
      <c r="I50" s="184"/>
    </row>
    <row r="51" spans="1:9">
      <c r="A51">
        <v>2</v>
      </c>
      <c r="C51">
        <v>1</v>
      </c>
      <c r="E51" s="186">
        <v>1170</v>
      </c>
      <c r="G51" s="185">
        <v>15</v>
      </c>
      <c r="I51" s="184">
        <v>12820.51282051282</v>
      </c>
    </row>
    <row r="52" spans="1:9">
      <c r="A52">
        <v>2</v>
      </c>
      <c r="C52">
        <v>5</v>
      </c>
      <c r="E52" s="186">
        <v>780</v>
      </c>
      <c r="G52" s="185">
        <v>0</v>
      </c>
      <c r="I52" s="184">
        <v>0</v>
      </c>
    </row>
    <row r="53" spans="1:9">
      <c r="A53">
        <v>2</v>
      </c>
      <c r="C53">
        <v>6</v>
      </c>
      <c r="E53" s="186">
        <v>1755</v>
      </c>
      <c r="G53" s="185">
        <v>20</v>
      </c>
      <c r="I53" s="184">
        <v>11396.011396011396</v>
      </c>
    </row>
    <row r="54" spans="1:9">
      <c r="A54">
        <v>2</v>
      </c>
      <c r="C54">
        <v>7</v>
      </c>
      <c r="E54" s="186">
        <v>660</v>
      </c>
      <c r="G54" s="185">
        <v>0</v>
      </c>
      <c r="I54" s="184">
        <v>0</v>
      </c>
    </row>
    <row r="55" spans="1:9">
      <c r="A55">
        <v>2</v>
      </c>
      <c r="C55">
        <v>8</v>
      </c>
      <c r="E55" s="186">
        <v>1320</v>
      </c>
      <c r="G55" s="185">
        <v>9</v>
      </c>
      <c r="I55" s="184">
        <v>6818.181818181818</v>
      </c>
    </row>
    <row r="56" spans="1:9">
      <c r="A56">
        <v>2</v>
      </c>
      <c r="C56">
        <v>10</v>
      </c>
      <c r="E56" s="186">
        <v>1470</v>
      </c>
      <c r="G56" s="185">
        <v>4</v>
      </c>
      <c r="I56" s="184">
        <v>2721.0884353741499</v>
      </c>
    </row>
    <row r="57" spans="1:9">
      <c r="A57">
        <v>2</v>
      </c>
      <c r="C57">
        <v>11</v>
      </c>
      <c r="E57" s="186">
        <v>660</v>
      </c>
      <c r="G57" s="185">
        <v>0</v>
      </c>
      <c r="I57" s="184">
        <v>0</v>
      </c>
    </row>
    <row r="58" spans="1:9">
      <c r="A58">
        <v>2</v>
      </c>
      <c r="C58">
        <v>12</v>
      </c>
      <c r="E58" s="186">
        <v>60</v>
      </c>
      <c r="G58" s="185">
        <v>8</v>
      </c>
      <c r="I58" s="184">
        <v>133333.33333333334</v>
      </c>
    </row>
    <row r="59" spans="1:9">
      <c r="A59" t="s">
        <v>159</v>
      </c>
      <c r="E59" s="186"/>
      <c r="G59" s="185"/>
      <c r="I59" s="184"/>
    </row>
    <row r="60" spans="1:9">
      <c r="A60" s="222" t="s">
        <v>160</v>
      </c>
      <c r="B60" s="222"/>
      <c r="C60" s="222"/>
      <c r="D60" s="222"/>
      <c r="E60" s="223">
        <v>7875</v>
      </c>
      <c r="F60" s="222"/>
      <c r="G60" s="224">
        <v>59</v>
      </c>
      <c r="H60" s="222"/>
      <c r="I60" s="225">
        <v>7492.063492063492</v>
      </c>
    </row>
    <row r="61" spans="1:9">
      <c r="E61" s="186"/>
      <c r="G61" s="185"/>
      <c r="I61" s="184"/>
    </row>
    <row r="62" spans="1:9">
      <c r="A62">
        <v>2</v>
      </c>
      <c r="C62">
        <v>14</v>
      </c>
      <c r="E62" s="186">
        <v>1324</v>
      </c>
      <c r="G62" s="185">
        <v>5</v>
      </c>
      <c r="I62" s="184">
        <v>3776.4350453172206</v>
      </c>
    </row>
    <row r="63" spans="1:9">
      <c r="A63">
        <v>2</v>
      </c>
      <c r="C63">
        <v>16</v>
      </c>
      <c r="E63" s="186">
        <v>960</v>
      </c>
      <c r="G63" s="185">
        <v>4</v>
      </c>
      <c r="I63" s="184">
        <v>4166.666666666667</v>
      </c>
    </row>
    <row r="64" spans="1:9">
      <c r="A64">
        <v>2</v>
      </c>
      <c r="C64">
        <v>18</v>
      </c>
      <c r="E64" s="186">
        <v>1395</v>
      </c>
      <c r="G64" s="185">
        <v>20</v>
      </c>
      <c r="I64" s="184">
        <v>14336.917562724015</v>
      </c>
    </row>
    <row r="65" spans="1:9">
      <c r="A65">
        <v>2</v>
      </c>
      <c r="C65">
        <v>19</v>
      </c>
      <c r="E65" s="186">
        <v>210</v>
      </c>
      <c r="G65" s="185">
        <v>0</v>
      </c>
      <c r="I65" s="184">
        <v>0</v>
      </c>
    </row>
    <row r="66" spans="1:9">
      <c r="A66">
        <v>2</v>
      </c>
      <c r="C66">
        <v>23</v>
      </c>
      <c r="E66" s="186">
        <v>1335</v>
      </c>
      <c r="G66" s="185">
        <v>33</v>
      </c>
      <c r="I66" s="184">
        <v>24719.101123595505</v>
      </c>
    </row>
    <row r="67" spans="1:9">
      <c r="A67" t="s">
        <v>159</v>
      </c>
      <c r="E67" s="186"/>
      <c r="G67" s="185"/>
      <c r="I67" s="184"/>
    </row>
    <row r="68" spans="1:9">
      <c r="A68" s="222" t="s">
        <v>161</v>
      </c>
      <c r="B68" s="222"/>
      <c r="C68" s="222"/>
      <c r="D68" s="222"/>
      <c r="E68" s="223">
        <v>5224</v>
      </c>
      <c r="F68" s="222"/>
      <c r="G68" s="224">
        <v>62</v>
      </c>
      <c r="H68" s="222"/>
      <c r="I68" s="225">
        <v>11868.300153139357</v>
      </c>
    </row>
    <row r="69" spans="1:9">
      <c r="E69" s="186"/>
      <c r="G69" s="185"/>
      <c r="I69" s="184"/>
    </row>
    <row r="70" spans="1:9">
      <c r="A70">
        <v>2</v>
      </c>
      <c r="C70">
        <v>34</v>
      </c>
      <c r="E70" s="186">
        <v>1146</v>
      </c>
      <c r="G70" s="185">
        <v>12</v>
      </c>
      <c r="I70" s="184">
        <v>10471.204188481675</v>
      </c>
    </row>
    <row r="71" spans="1:9">
      <c r="A71" t="s">
        <v>159</v>
      </c>
      <c r="E71" s="186"/>
      <c r="G71" s="185"/>
      <c r="I71" s="184"/>
    </row>
    <row r="72" spans="1:9">
      <c r="A72" s="222" t="s">
        <v>162</v>
      </c>
      <c r="B72" s="222"/>
      <c r="C72" s="222"/>
      <c r="D72" s="222"/>
      <c r="E72" s="223">
        <v>1146</v>
      </c>
      <c r="F72" s="222"/>
      <c r="G72" s="224">
        <v>12</v>
      </c>
      <c r="H72" s="222"/>
      <c r="I72" s="225">
        <v>10471.204188481675</v>
      </c>
    </row>
    <row r="73" spans="1:9">
      <c r="E73" s="186"/>
      <c r="G73" s="185"/>
      <c r="I73" s="184"/>
    </row>
    <row r="74" spans="1:9">
      <c r="A74">
        <v>2</v>
      </c>
      <c r="C74">
        <v>37</v>
      </c>
      <c r="E74" s="186">
        <v>310</v>
      </c>
      <c r="G74" s="185">
        <v>0</v>
      </c>
      <c r="I74" s="184">
        <v>0</v>
      </c>
    </row>
    <row r="75" spans="1:9">
      <c r="A75">
        <v>2</v>
      </c>
      <c r="C75">
        <v>39</v>
      </c>
      <c r="E75" s="186">
        <v>180</v>
      </c>
      <c r="G75" s="185">
        <v>0</v>
      </c>
      <c r="I75" s="184">
        <v>0</v>
      </c>
    </row>
    <row r="76" spans="1:9">
      <c r="A76">
        <v>2</v>
      </c>
      <c r="C76">
        <v>41</v>
      </c>
      <c r="E76" s="186">
        <v>60</v>
      </c>
      <c r="G76" s="185">
        <v>20</v>
      </c>
      <c r="I76" s="184">
        <v>333333.33333333331</v>
      </c>
    </row>
    <row r="77" spans="1:9">
      <c r="A77">
        <v>2</v>
      </c>
      <c r="C77">
        <v>46</v>
      </c>
      <c r="E77" s="186">
        <v>2130</v>
      </c>
      <c r="G77" s="185">
        <v>4</v>
      </c>
      <c r="I77" s="184">
        <v>1877.9342723004695</v>
      </c>
    </row>
    <row r="78" spans="1:9">
      <c r="A78">
        <v>2</v>
      </c>
      <c r="C78">
        <v>47</v>
      </c>
      <c r="E78" s="186">
        <v>1290</v>
      </c>
      <c r="G78" s="185">
        <v>8</v>
      </c>
      <c r="I78" s="184">
        <v>6201.5503875968989</v>
      </c>
    </row>
    <row r="79" spans="1:9">
      <c r="A79" t="s">
        <v>159</v>
      </c>
      <c r="E79" s="186"/>
      <c r="G79" s="185"/>
      <c r="I79" s="184"/>
    </row>
    <row r="80" spans="1:9">
      <c r="A80" s="222" t="s">
        <v>163</v>
      </c>
      <c r="B80" s="222"/>
      <c r="C80" s="222"/>
      <c r="D80" s="222"/>
      <c r="E80" s="223">
        <v>3970</v>
      </c>
      <c r="F80" s="222"/>
      <c r="G80" s="224">
        <v>32</v>
      </c>
      <c r="H80" s="222"/>
      <c r="I80" s="225">
        <v>8060.4534005037785</v>
      </c>
    </row>
    <row r="81" spans="1:9">
      <c r="E81" s="186"/>
      <c r="G81" s="185"/>
      <c r="I81" s="184"/>
    </row>
    <row r="82" spans="1:9">
      <c r="A82">
        <v>2</v>
      </c>
      <c r="C82">
        <v>61</v>
      </c>
      <c r="E82" s="186">
        <v>885</v>
      </c>
      <c r="G82" s="185">
        <v>20</v>
      </c>
      <c r="I82" s="184">
        <v>22598.870056497177</v>
      </c>
    </row>
    <row r="83" spans="1:9">
      <c r="A83">
        <v>2</v>
      </c>
      <c r="C83">
        <v>62</v>
      </c>
      <c r="E83" s="186">
        <v>960</v>
      </c>
      <c r="G83" s="185">
        <v>20</v>
      </c>
      <c r="I83" s="184">
        <v>20833.333333333332</v>
      </c>
    </row>
    <row r="84" spans="1:9">
      <c r="A84">
        <v>2</v>
      </c>
      <c r="C84">
        <v>63</v>
      </c>
      <c r="E84" s="186">
        <v>1680</v>
      </c>
      <c r="G84" s="185">
        <v>12</v>
      </c>
      <c r="I84" s="184">
        <v>7142.8571428571431</v>
      </c>
    </row>
    <row r="85" spans="1:9">
      <c r="A85">
        <v>2</v>
      </c>
      <c r="C85">
        <v>66</v>
      </c>
      <c r="E85" s="186">
        <v>1050</v>
      </c>
      <c r="G85" s="185">
        <v>4</v>
      </c>
      <c r="I85" s="184">
        <v>3809.5238095238096</v>
      </c>
    </row>
    <row r="86" spans="1:9">
      <c r="A86">
        <v>2</v>
      </c>
      <c r="C86">
        <v>67</v>
      </c>
      <c r="E86" s="186">
        <v>390</v>
      </c>
      <c r="G86" s="185">
        <v>13</v>
      </c>
      <c r="I86" s="184">
        <v>33333.333333333336</v>
      </c>
    </row>
    <row r="87" spans="1:9">
      <c r="A87">
        <v>2</v>
      </c>
      <c r="C87">
        <v>68</v>
      </c>
      <c r="E87" s="186">
        <v>1080</v>
      </c>
      <c r="G87" s="185">
        <v>0</v>
      </c>
      <c r="I87" s="184">
        <v>0</v>
      </c>
    </row>
    <row r="88" spans="1:9">
      <c r="A88">
        <v>2</v>
      </c>
      <c r="C88">
        <v>69</v>
      </c>
      <c r="E88" s="186">
        <v>1020</v>
      </c>
      <c r="G88" s="185">
        <v>36</v>
      </c>
      <c r="I88" s="184">
        <v>35294.117647058825</v>
      </c>
    </row>
    <row r="89" spans="1:9">
      <c r="A89" t="s">
        <v>159</v>
      </c>
      <c r="E89" s="186"/>
      <c r="G89" s="185"/>
      <c r="I89" s="184"/>
    </row>
    <row r="90" spans="1:9">
      <c r="A90" s="222" t="s">
        <v>165</v>
      </c>
      <c r="B90" s="222"/>
      <c r="C90" s="222"/>
      <c r="D90" s="222"/>
      <c r="E90" s="223">
        <v>7065</v>
      </c>
      <c r="F90" s="222"/>
      <c r="G90" s="224">
        <v>105</v>
      </c>
      <c r="H90" s="222"/>
      <c r="I90" s="225">
        <v>14861.995753715499</v>
      </c>
    </row>
    <row r="91" spans="1:9">
      <c r="E91" s="186"/>
      <c r="G91" s="185"/>
      <c r="I91" s="184"/>
    </row>
    <row r="92" spans="1:9">
      <c r="E92" s="186"/>
      <c r="G92" s="185"/>
      <c r="I92" s="184"/>
    </row>
    <row r="93" spans="1:9">
      <c r="A93" t="s">
        <v>159</v>
      </c>
      <c r="E93" s="186"/>
      <c r="G93" s="185"/>
      <c r="I93" s="184"/>
    </row>
    <row r="94" spans="1:9">
      <c r="A94" s="222" t="s">
        <v>167</v>
      </c>
      <c r="B94" s="222"/>
      <c r="C94" s="222"/>
      <c r="D94" s="222"/>
      <c r="E94" s="223">
        <v>25280</v>
      </c>
      <c r="F94" s="222"/>
      <c r="G94" s="224">
        <v>267</v>
      </c>
      <c r="H94" s="222"/>
      <c r="I94" s="225">
        <v>10561.708860759494</v>
      </c>
    </row>
    <row r="95" spans="1:9">
      <c r="A95" t="s">
        <v>159</v>
      </c>
      <c r="E95" s="186"/>
      <c r="G95" s="185"/>
      <c r="I95" s="184"/>
    </row>
    <row r="96" spans="1:9" ht="15.6">
      <c r="A96" s="226" t="s">
        <v>168</v>
      </c>
      <c r="B96" s="226"/>
      <c r="C96" s="226"/>
      <c r="D96" s="226"/>
      <c r="E96" s="227">
        <v>42250</v>
      </c>
      <c r="F96" s="226"/>
      <c r="G96" s="228">
        <v>384</v>
      </c>
      <c r="H96" s="226"/>
      <c r="I96" s="229">
        <v>9088.7573964497042</v>
      </c>
    </row>
    <row r="97" spans="5:9">
      <c r="E97" s="186"/>
      <c r="G97" s="185"/>
      <c r="I97" s="184"/>
    </row>
    <row r="98" spans="5:9">
      <c r="E98" s="186"/>
      <c r="G98" s="185"/>
      <c r="I98" s="184"/>
    </row>
    <row r="99" spans="5:9">
      <c r="E99" s="186"/>
      <c r="G99" s="185"/>
      <c r="I99" s="184"/>
    </row>
    <row r="100" spans="5:9">
      <c r="E100" s="186"/>
      <c r="G100" s="185"/>
      <c r="I100" s="184"/>
    </row>
    <row r="101" spans="5:9">
      <c r="E101" s="186"/>
      <c r="G101" s="185"/>
      <c r="I101" s="184"/>
    </row>
    <row r="102" spans="5:9">
      <c r="E102" s="186"/>
      <c r="G102" s="185"/>
      <c r="I102" s="184"/>
    </row>
    <row r="103" spans="5:9">
      <c r="E103" s="186"/>
      <c r="G103" s="185"/>
      <c r="I103" s="184"/>
    </row>
    <row r="104" spans="5:9">
      <c r="E104" s="186"/>
      <c r="G104" s="185"/>
      <c r="I104" s="184"/>
    </row>
    <row r="105" spans="5:9">
      <c r="E105" s="186"/>
      <c r="G105" s="185"/>
      <c r="I105" s="184"/>
    </row>
    <row r="106" spans="5:9">
      <c r="E106" s="186"/>
      <c r="G106" s="185"/>
      <c r="I106" s="184"/>
    </row>
    <row r="107" spans="5:9">
      <c r="E107" s="186"/>
      <c r="G107" s="185"/>
      <c r="I107" s="184"/>
    </row>
    <row r="108" spans="5:9">
      <c r="E108" s="186"/>
      <c r="G108" s="185"/>
      <c r="I108" s="184"/>
    </row>
    <row r="109" spans="5:9">
      <c r="E109" s="186"/>
      <c r="G109" s="185"/>
      <c r="I109" s="184"/>
    </row>
    <row r="110" spans="5:9">
      <c r="E110" s="186"/>
      <c r="G110" s="185"/>
      <c r="I110" s="184"/>
    </row>
    <row r="111" spans="5:9">
      <c r="E111" s="186"/>
      <c r="G111" s="185"/>
      <c r="I111" s="184"/>
    </row>
    <row r="112" spans="5:9">
      <c r="E112" s="186"/>
      <c r="G112" s="185"/>
      <c r="I112" s="184"/>
    </row>
    <row r="113" spans="5:9">
      <c r="E113" s="186"/>
      <c r="G113" s="185"/>
      <c r="I113" s="184"/>
    </row>
    <row r="114" spans="5:9">
      <c r="E114" s="186"/>
      <c r="G114" s="185"/>
      <c r="I114" s="184"/>
    </row>
    <row r="115" spans="5:9">
      <c r="E115" s="186"/>
      <c r="G115" s="185"/>
      <c r="I115" s="184"/>
    </row>
    <row r="116" spans="5:9">
      <c r="E116" s="186"/>
      <c r="G116" s="185"/>
      <c r="I116" s="184"/>
    </row>
    <row r="117" spans="5:9">
      <c r="E117" s="186"/>
      <c r="G117" s="185"/>
      <c r="I117" s="184"/>
    </row>
    <row r="118" spans="5:9">
      <c r="E118" s="186"/>
      <c r="G118" s="185"/>
      <c r="I118" s="184"/>
    </row>
    <row r="119" spans="5:9">
      <c r="E119" s="186"/>
      <c r="G119" s="185"/>
      <c r="I119" s="184"/>
    </row>
    <row r="120" spans="5:9">
      <c r="E120" s="186"/>
      <c r="G120" s="185"/>
      <c r="I120" s="184"/>
    </row>
    <row r="121" spans="5:9">
      <c r="E121" s="186"/>
      <c r="G121" s="185"/>
      <c r="I121" s="184"/>
    </row>
    <row r="122" spans="5:9">
      <c r="E122" s="186"/>
      <c r="G122" s="185"/>
      <c r="I122" s="184"/>
    </row>
    <row r="123" spans="5:9">
      <c r="E123" s="186"/>
      <c r="G123" s="185"/>
      <c r="I123" s="184"/>
    </row>
    <row r="124" spans="5:9">
      <c r="E124" s="186"/>
      <c r="G124" s="185"/>
      <c r="I124" s="184"/>
    </row>
    <row r="125" spans="5:9">
      <c r="E125" s="186"/>
      <c r="G125" s="185"/>
      <c r="I125" s="184"/>
    </row>
    <row r="126" spans="5:9">
      <c r="E126" s="186"/>
      <c r="G126" s="185"/>
      <c r="I126" s="184"/>
    </row>
    <row r="127" spans="5:9">
      <c r="E127" s="186"/>
      <c r="G127" s="185"/>
      <c r="I127" s="184"/>
    </row>
    <row r="128" spans="5:9">
      <c r="E128" s="186"/>
      <c r="G128" s="185"/>
      <c r="I128" s="184"/>
    </row>
    <row r="129" spans="5:9">
      <c r="E129" s="186"/>
      <c r="G129" s="185"/>
      <c r="I129" s="184"/>
    </row>
    <row r="130" spans="5:9">
      <c r="E130" s="186"/>
      <c r="G130" s="185"/>
      <c r="I130" s="184"/>
    </row>
    <row r="131" spans="5:9">
      <c r="E131" s="186"/>
      <c r="G131" s="185"/>
      <c r="I131" s="184"/>
    </row>
    <row r="132" spans="5:9">
      <c r="E132" s="186"/>
      <c r="G132" s="185"/>
      <c r="I132" s="184"/>
    </row>
    <row r="133" spans="5:9">
      <c r="E133" s="186"/>
      <c r="G133" s="185"/>
      <c r="I133" s="184"/>
    </row>
    <row r="134" spans="5:9">
      <c r="E134" s="186"/>
      <c r="G134" s="185"/>
      <c r="I134" s="184"/>
    </row>
    <row r="135" spans="5:9">
      <c r="E135" s="186"/>
      <c r="G135" s="185"/>
      <c r="I135" s="184"/>
    </row>
    <row r="136" spans="5:9">
      <c r="E136" s="186"/>
      <c r="G136" s="185"/>
      <c r="I136" s="184"/>
    </row>
    <row r="137" spans="5:9">
      <c r="E137" s="186"/>
      <c r="G137" s="185"/>
      <c r="I137" s="184"/>
    </row>
    <row r="138" spans="5:9">
      <c r="E138" s="186"/>
      <c r="G138" s="185"/>
      <c r="I138" s="184"/>
    </row>
    <row r="139" spans="5:9">
      <c r="E139" s="186"/>
      <c r="G139" s="185"/>
      <c r="I139" s="184"/>
    </row>
    <row r="140" spans="5:9">
      <c r="E140" s="186"/>
      <c r="G140" s="185"/>
      <c r="I140" s="184"/>
    </row>
    <row r="141" spans="5:9">
      <c r="E141" s="186"/>
      <c r="G141" s="185"/>
      <c r="I141" s="184"/>
    </row>
    <row r="142" spans="5:9">
      <c r="E142" s="186"/>
      <c r="G142" s="185"/>
      <c r="I142" s="184"/>
    </row>
    <row r="143" spans="5:9">
      <c r="E143" s="186"/>
      <c r="G143" s="185"/>
      <c r="I143" s="184"/>
    </row>
    <row r="144" spans="5:9">
      <c r="E144" s="186"/>
      <c r="G144" s="185"/>
      <c r="I144" s="184"/>
    </row>
    <row r="145" spans="5:9">
      <c r="E145" s="186"/>
      <c r="G145" s="185"/>
      <c r="I145" s="184"/>
    </row>
    <row r="146" spans="5:9">
      <c r="E146" s="186"/>
      <c r="G146" s="185"/>
      <c r="I146" s="184"/>
    </row>
    <row r="147" spans="5:9">
      <c r="E147" s="186"/>
      <c r="G147" s="185"/>
      <c r="I147" s="184"/>
    </row>
    <row r="148" spans="5:9">
      <c r="E148" s="186"/>
      <c r="G148" s="185"/>
      <c r="I148" s="184"/>
    </row>
    <row r="149" spans="5:9">
      <c r="E149" s="186"/>
      <c r="G149" s="185"/>
      <c r="I149" s="184"/>
    </row>
    <row r="150" spans="5:9">
      <c r="E150" s="186"/>
      <c r="G150" s="185"/>
      <c r="I150" s="184"/>
    </row>
    <row r="151" spans="5:9">
      <c r="E151" s="186"/>
      <c r="G151" s="185"/>
      <c r="I151" s="184"/>
    </row>
    <row r="152" spans="5:9">
      <c r="E152" s="186"/>
      <c r="G152" s="185"/>
      <c r="I152" s="184"/>
    </row>
    <row r="153" spans="5:9">
      <c r="E153" s="186"/>
      <c r="G153" s="185"/>
      <c r="I153" s="184"/>
    </row>
    <row r="154" spans="5:9">
      <c r="E154" s="186"/>
      <c r="G154" s="185"/>
      <c r="I154" s="184"/>
    </row>
    <row r="155" spans="5:9">
      <c r="E155" s="186"/>
      <c r="G155" s="185"/>
      <c r="I155" s="184"/>
    </row>
    <row r="156" spans="5:9">
      <c r="E156" s="186"/>
      <c r="G156" s="185"/>
      <c r="I156" s="184"/>
    </row>
    <row r="157" spans="5:9">
      <c r="E157" s="186"/>
      <c r="G157" s="185"/>
      <c r="I157" s="184"/>
    </row>
    <row r="158" spans="5:9">
      <c r="E158" s="186"/>
      <c r="G158" s="185"/>
      <c r="I158" s="184"/>
    </row>
    <row r="159" spans="5:9">
      <c r="E159" s="186"/>
      <c r="G159" s="185"/>
      <c r="I159" s="184"/>
    </row>
    <row r="160" spans="5:9">
      <c r="E160" s="186"/>
      <c r="G160" s="185"/>
      <c r="I160" s="184"/>
    </row>
    <row r="161" spans="5:9">
      <c r="E161" s="186"/>
      <c r="G161" s="185"/>
      <c r="I161" s="184"/>
    </row>
    <row r="162" spans="5:9">
      <c r="E162" s="186"/>
      <c r="G162" s="185"/>
      <c r="I162" s="184"/>
    </row>
    <row r="163" spans="5:9">
      <c r="E163" s="186"/>
      <c r="G163" s="185"/>
      <c r="I163" s="184"/>
    </row>
    <row r="164" spans="5:9">
      <c r="E164" s="186"/>
      <c r="G164" s="185"/>
      <c r="I164" s="184"/>
    </row>
    <row r="165" spans="5:9">
      <c r="E165" s="186"/>
      <c r="G165" s="185"/>
      <c r="I165" s="184"/>
    </row>
    <row r="166" spans="5:9">
      <c r="E166" s="186"/>
      <c r="G166" s="185"/>
      <c r="I166" s="184"/>
    </row>
    <row r="167" spans="5:9">
      <c r="E167" s="186"/>
      <c r="G167" s="185"/>
      <c r="I167" s="184"/>
    </row>
    <row r="168" spans="5:9">
      <c r="E168" s="186"/>
      <c r="G168" s="185"/>
      <c r="I168" s="184"/>
    </row>
    <row r="169" spans="5:9">
      <c r="E169" s="186"/>
      <c r="G169" s="185"/>
      <c r="I169" s="184"/>
    </row>
    <row r="170" spans="5:9">
      <c r="E170" s="186"/>
      <c r="G170" s="185"/>
      <c r="I170" s="184"/>
    </row>
    <row r="171" spans="5:9">
      <c r="E171" s="186"/>
      <c r="G171" s="185"/>
      <c r="I171" s="184"/>
    </row>
    <row r="172" spans="5:9">
      <c r="E172" s="186"/>
      <c r="G172" s="185"/>
      <c r="I172" s="184"/>
    </row>
    <row r="173" spans="5:9">
      <c r="E173" s="186"/>
      <c r="G173" s="185"/>
      <c r="I173" s="184"/>
    </row>
    <row r="174" spans="5:9">
      <c r="E174" s="186"/>
      <c r="G174" s="185"/>
      <c r="I174" s="184"/>
    </row>
    <row r="175" spans="5:9">
      <c r="E175" s="186"/>
      <c r="G175" s="185"/>
      <c r="I175" s="184"/>
    </row>
    <row r="176" spans="5:9">
      <c r="E176" s="186"/>
      <c r="G176" s="185"/>
      <c r="I176" s="184"/>
    </row>
    <row r="177" spans="5:9">
      <c r="E177" s="186"/>
      <c r="G177" s="185"/>
      <c r="I177" s="184"/>
    </row>
    <row r="178" spans="5:9">
      <c r="E178" s="186"/>
      <c r="G178" s="185"/>
      <c r="I178" s="184"/>
    </row>
    <row r="179" spans="5:9">
      <c r="E179" s="186"/>
      <c r="G179" s="185"/>
      <c r="I179" s="184"/>
    </row>
    <row r="180" spans="5:9">
      <c r="E180" s="186"/>
      <c r="G180" s="185"/>
      <c r="I180" s="184"/>
    </row>
    <row r="181" spans="5:9">
      <c r="E181" s="186"/>
      <c r="G181" s="185"/>
      <c r="I181" s="184"/>
    </row>
    <row r="182" spans="5:9">
      <c r="E182" s="186"/>
      <c r="G182" s="185"/>
      <c r="I182" s="184"/>
    </row>
    <row r="183" spans="5:9">
      <c r="E183" s="186"/>
      <c r="G183" s="185"/>
      <c r="I183" s="184"/>
    </row>
    <row r="184" spans="5:9">
      <c r="E184" s="186"/>
      <c r="G184" s="185"/>
      <c r="I184" s="184"/>
    </row>
    <row r="185" spans="5:9">
      <c r="E185" s="186"/>
      <c r="G185" s="185"/>
      <c r="I185" s="184"/>
    </row>
    <row r="186" spans="5:9">
      <c r="E186" s="186"/>
      <c r="G186" s="185"/>
      <c r="I186" s="184"/>
    </row>
    <row r="187" spans="5:9">
      <c r="E187" s="186"/>
      <c r="G187" s="185"/>
      <c r="I187" s="184"/>
    </row>
    <row r="188" spans="5:9">
      <c r="E188" s="186"/>
      <c r="G188" s="185"/>
      <c r="I188" s="184"/>
    </row>
    <row r="189" spans="5:9">
      <c r="E189" s="186"/>
      <c r="G189" s="185"/>
      <c r="I189" s="184"/>
    </row>
    <row r="190" spans="5:9">
      <c r="E190" s="186"/>
      <c r="G190" s="185"/>
      <c r="I190" s="184"/>
    </row>
    <row r="191" spans="5:9">
      <c r="E191" s="186"/>
      <c r="G191" s="185"/>
      <c r="I191" s="184"/>
    </row>
    <row r="192" spans="5:9">
      <c r="E192" s="186"/>
      <c r="G192" s="185"/>
      <c r="I192" s="184"/>
    </row>
    <row r="193" spans="5:9">
      <c r="E193" s="186"/>
      <c r="G193" s="185"/>
      <c r="I193" s="184"/>
    </row>
    <row r="194" spans="5:9">
      <c r="E194" s="186"/>
      <c r="G194" s="185"/>
      <c r="I194" s="184"/>
    </row>
    <row r="195" spans="5:9">
      <c r="E195" s="186"/>
      <c r="G195" s="185"/>
      <c r="I195" s="184"/>
    </row>
    <row r="196" spans="5:9">
      <c r="E196" s="186"/>
      <c r="G196" s="185"/>
      <c r="I196" s="184"/>
    </row>
    <row r="197" spans="5:9">
      <c r="E197" s="186"/>
      <c r="G197" s="185"/>
      <c r="I197" s="184"/>
    </row>
    <row r="198" spans="5:9">
      <c r="E198" s="186"/>
      <c r="G198" s="185"/>
      <c r="I198" s="184"/>
    </row>
    <row r="199" spans="5:9">
      <c r="E199" s="186"/>
      <c r="G199" s="185"/>
      <c r="I199" s="184"/>
    </row>
    <row r="200" spans="5:9">
      <c r="E200" s="186"/>
      <c r="G200" s="185"/>
      <c r="I200" s="184"/>
    </row>
    <row r="201" spans="5:9">
      <c r="E201" s="186"/>
      <c r="G201" s="185"/>
      <c r="I201" s="184"/>
    </row>
    <row r="202" spans="5:9">
      <c r="E202" s="186"/>
      <c r="G202" s="185"/>
      <c r="I202" s="184"/>
    </row>
    <row r="203" spans="5:9">
      <c r="E203" s="186"/>
      <c r="G203" s="185"/>
      <c r="I203" s="184"/>
    </row>
    <row r="204" spans="5:9">
      <c r="E204" s="186"/>
      <c r="G204" s="185"/>
      <c r="I204" s="184"/>
    </row>
    <row r="205" spans="5:9">
      <c r="E205" s="186"/>
      <c r="G205" s="185"/>
      <c r="I205" s="184"/>
    </row>
    <row r="206" spans="5:9">
      <c r="E206" s="186"/>
      <c r="G206" s="185"/>
      <c r="I206" s="184"/>
    </row>
    <row r="207" spans="5:9">
      <c r="E207" s="186"/>
      <c r="G207" s="185"/>
      <c r="I207" s="184"/>
    </row>
    <row r="208" spans="5:9">
      <c r="E208" s="186"/>
      <c r="G208" s="185"/>
      <c r="I208" s="184"/>
    </row>
    <row r="209" spans="5:9">
      <c r="E209" s="186"/>
      <c r="G209" s="185"/>
      <c r="I209" s="184"/>
    </row>
    <row r="210" spans="5:9">
      <c r="E210" s="186"/>
      <c r="G210" s="185"/>
      <c r="I210" s="184"/>
    </row>
    <row r="211" spans="5:9">
      <c r="E211" s="186"/>
      <c r="G211" s="185"/>
      <c r="I211" s="184"/>
    </row>
    <row r="212" spans="5:9">
      <c r="E212" s="186"/>
      <c r="G212" s="185"/>
      <c r="I212" s="184"/>
    </row>
    <row r="213" spans="5:9">
      <c r="E213" s="186"/>
      <c r="G213" s="185"/>
      <c r="I213" s="184"/>
    </row>
    <row r="214" spans="5:9">
      <c r="E214" s="186"/>
      <c r="G214" s="185"/>
      <c r="I214" s="184"/>
    </row>
    <row r="215" spans="5:9">
      <c r="E215" s="186"/>
      <c r="G215" s="185"/>
      <c r="I215" s="184"/>
    </row>
    <row r="216" spans="5:9">
      <c r="E216" s="186"/>
      <c r="G216" s="185"/>
      <c r="I216" s="184"/>
    </row>
    <row r="217" spans="5:9">
      <c r="E217" s="186"/>
      <c r="G217" s="185"/>
      <c r="I217" s="184"/>
    </row>
    <row r="218" spans="5:9">
      <c r="E218" s="186"/>
      <c r="G218" s="185"/>
      <c r="I218" s="184"/>
    </row>
    <row r="219" spans="5:9">
      <c r="E219" s="186"/>
      <c r="G219" s="185"/>
      <c r="I219" s="184"/>
    </row>
    <row r="220" spans="5:9">
      <c r="E220" s="186"/>
      <c r="G220" s="185"/>
      <c r="I220" s="184"/>
    </row>
    <row r="221" spans="5:9">
      <c r="E221" s="186"/>
      <c r="G221" s="185"/>
      <c r="I221" s="184"/>
    </row>
    <row r="222" spans="5:9">
      <c r="E222" s="186"/>
      <c r="G222" s="185"/>
      <c r="I222" s="184"/>
    </row>
    <row r="223" spans="5:9">
      <c r="E223" s="186"/>
      <c r="G223" s="185"/>
      <c r="I223" s="184"/>
    </row>
    <row r="224" spans="5:9">
      <c r="E224" s="186"/>
      <c r="G224" s="185"/>
      <c r="I224" s="184"/>
    </row>
    <row r="225" spans="5:9">
      <c r="E225" s="186"/>
      <c r="G225" s="185"/>
      <c r="I225" s="184"/>
    </row>
    <row r="226" spans="5:9">
      <c r="E226" s="186"/>
      <c r="G226" s="185"/>
      <c r="I226" s="184"/>
    </row>
    <row r="227" spans="5:9">
      <c r="E227" s="186"/>
      <c r="G227" s="185"/>
      <c r="I227" s="184"/>
    </row>
    <row r="228" spans="5:9">
      <c r="E228" s="186"/>
      <c r="G228" s="185"/>
      <c r="I228" s="184"/>
    </row>
    <row r="229" spans="5:9">
      <c r="E229" s="186"/>
      <c r="G229" s="185"/>
      <c r="I229" s="184"/>
    </row>
    <row r="230" spans="5:9">
      <c r="E230" s="186"/>
      <c r="G230" s="185"/>
      <c r="I230" s="184"/>
    </row>
    <row r="231" spans="5:9">
      <c r="E231" s="186"/>
      <c r="G231" s="185"/>
      <c r="I231" s="184"/>
    </row>
    <row r="232" spans="5:9">
      <c r="E232" s="186"/>
      <c r="G232" s="185"/>
      <c r="I232" s="184"/>
    </row>
    <row r="233" spans="5:9">
      <c r="E233" s="186"/>
      <c r="G233" s="185"/>
      <c r="I233" s="184"/>
    </row>
    <row r="234" spans="5:9">
      <c r="E234" s="186"/>
      <c r="G234" s="185"/>
      <c r="I234" s="184"/>
    </row>
    <row r="235" spans="5:9">
      <c r="E235" s="186"/>
      <c r="G235" s="185"/>
      <c r="I235" s="184"/>
    </row>
    <row r="236" spans="5:9">
      <c r="E236" s="186"/>
      <c r="G236" s="185"/>
      <c r="I236" s="184"/>
    </row>
    <row r="237" spans="5:9">
      <c r="E237" s="186"/>
      <c r="G237" s="185"/>
      <c r="I237" s="184"/>
    </row>
    <row r="238" spans="5:9">
      <c r="E238" s="186"/>
      <c r="G238" s="185"/>
      <c r="I238" s="184"/>
    </row>
    <row r="239" spans="5:9">
      <c r="E239" s="186"/>
      <c r="G239" s="185"/>
      <c r="I239" s="184"/>
    </row>
    <row r="240" spans="5:9">
      <c r="E240" s="186"/>
      <c r="G240" s="185"/>
      <c r="I240" s="184"/>
    </row>
    <row r="241" spans="5:9">
      <c r="E241" s="186"/>
      <c r="G241" s="185"/>
      <c r="I241" s="184"/>
    </row>
    <row r="242" spans="5:9">
      <c r="E242" s="186"/>
      <c r="G242" s="185"/>
      <c r="I242" s="184"/>
    </row>
    <row r="243" spans="5:9">
      <c r="E243" s="186"/>
      <c r="G243" s="185"/>
      <c r="I243" s="184"/>
    </row>
    <row r="244" spans="5:9">
      <c r="E244" s="186"/>
      <c r="G244" s="185"/>
      <c r="I244" s="184"/>
    </row>
    <row r="245" spans="5:9">
      <c r="E245" s="186"/>
      <c r="G245" s="185"/>
      <c r="I245" s="184"/>
    </row>
    <row r="246" spans="5:9">
      <c r="E246" s="186"/>
      <c r="G246" s="185"/>
      <c r="I246" s="184"/>
    </row>
    <row r="247" spans="5:9">
      <c r="E247" s="186"/>
      <c r="G247" s="185"/>
      <c r="I247" s="184"/>
    </row>
    <row r="248" spans="5:9">
      <c r="E248" s="186"/>
      <c r="G248" s="185"/>
      <c r="I248" s="184"/>
    </row>
    <row r="249" spans="5:9">
      <c r="E249" s="186"/>
      <c r="G249" s="185"/>
      <c r="I249" s="184"/>
    </row>
    <row r="250" spans="5:9">
      <c r="E250" s="186"/>
      <c r="G250" s="185"/>
      <c r="I250" s="184"/>
    </row>
    <row r="251" spans="5:9">
      <c r="E251" s="186"/>
      <c r="G251" s="185"/>
      <c r="I251" s="184"/>
    </row>
    <row r="252" spans="5:9">
      <c r="E252" s="186"/>
      <c r="G252" s="185"/>
      <c r="I252" s="184"/>
    </row>
    <row r="253" spans="5:9">
      <c r="E253" s="186"/>
      <c r="G253" s="185"/>
      <c r="I253" s="184"/>
    </row>
    <row r="254" spans="5:9">
      <c r="E254" s="186"/>
      <c r="G254" s="185"/>
      <c r="I254" s="184"/>
    </row>
    <row r="255" spans="5:9">
      <c r="E255" s="186"/>
      <c r="G255" s="185"/>
      <c r="I255" s="184"/>
    </row>
    <row r="256" spans="5:9">
      <c r="E256" s="186"/>
      <c r="G256" s="185"/>
      <c r="I256" s="184"/>
    </row>
    <row r="257" spans="5:9">
      <c r="E257" s="186"/>
      <c r="G257" s="185"/>
      <c r="I257" s="184"/>
    </row>
    <row r="258" spans="5:9">
      <c r="E258" s="186"/>
      <c r="G258" s="185"/>
      <c r="I258" s="184"/>
    </row>
    <row r="259" spans="5:9">
      <c r="E259" s="186"/>
      <c r="G259" s="185"/>
      <c r="I259" s="184"/>
    </row>
    <row r="260" spans="5:9">
      <c r="E260" s="186"/>
      <c r="G260" s="185"/>
      <c r="I260" s="184"/>
    </row>
    <row r="261" spans="5:9">
      <c r="E261" s="186"/>
      <c r="G261" s="185"/>
      <c r="I261" s="184"/>
    </row>
    <row r="262" spans="5:9">
      <c r="E262" s="186"/>
      <c r="G262" s="185"/>
      <c r="I262" s="184"/>
    </row>
    <row r="263" spans="5:9">
      <c r="E263" s="186"/>
      <c r="G263" s="185"/>
      <c r="I263" s="184"/>
    </row>
    <row r="264" spans="5:9">
      <c r="E264" s="186"/>
      <c r="G264" s="185"/>
      <c r="I264" s="184"/>
    </row>
    <row r="265" spans="5:9">
      <c r="E265" s="186"/>
      <c r="G265" s="185"/>
      <c r="I265" s="184"/>
    </row>
    <row r="266" spans="5:9">
      <c r="E266" s="186"/>
      <c r="G266" s="185"/>
      <c r="I266" s="184"/>
    </row>
    <row r="267" spans="5:9">
      <c r="E267" s="186"/>
      <c r="G267" s="185"/>
      <c r="I267" s="184"/>
    </row>
    <row r="268" spans="5:9">
      <c r="E268" s="186"/>
      <c r="G268" s="185"/>
      <c r="I268" s="184"/>
    </row>
    <row r="269" spans="5:9">
      <c r="E269" s="186"/>
      <c r="G269" s="185"/>
      <c r="I269" s="184"/>
    </row>
    <row r="270" spans="5:9">
      <c r="E270" s="186"/>
      <c r="G270" s="185"/>
      <c r="I270" s="184"/>
    </row>
    <row r="271" spans="5:9">
      <c r="E271" s="186"/>
      <c r="G271" s="185"/>
      <c r="I271" s="184"/>
    </row>
    <row r="272" spans="5:9">
      <c r="E272" s="186"/>
      <c r="G272" s="185"/>
      <c r="I272" s="184"/>
    </row>
    <row r="273" spans="5:9">
      <c r="E273" s="186"/>
      <c r="G273" s="185"/>
      <c r="I273" s="184"/>
    </row>
    <row r="274" spans="5:9">
      <c r="E274" s="186"/>
      <c r="G274" s="185"/>
      <c r="I274" s="184"/>
    </row>
    <row r="275" spans="5:9">
      <c r="E275" s="186"/>
      <c r="G275" s="185"/>
      <c r="I275" s="184"/>
    </row>
    <row r="276" spans="5:9">
      <c r="E276" s="186"/>
      <c r="G276" s="185"/>
      <c r="I276" s="184"/>
    </row>
    <row r="277" spans="5:9">
      <c r="E277" s="186"/>
      <c r="G277" s="185"/>
      <c r="I277" s="184"/>
    </row>
    <row r="278" spans="5:9">
      <c r="E278" s="186"/>
      <c r="G278" s="185"/>
      <c r="I278" s="184"/>
    </row>
    <row r="279" spans="5:9">
      <c r="E279" s="186"/>
      <c r="G279" s="185"/>
      <c r="I279" s="184"/>
    </row>
    <row r="280" spans="5:9">
      <c r="E280" s="186"/>
      <c r="G280" s="185"/>
      <c r="I280" s="184"/>
    </row>
    <row r="281" spans="5:9">
      <c r="E281" s="186"/>
      <c r="G281" s="185"/>
      <c r="I281" s="184"/>
    </row>
    <row r="282" spans="5:9">
      <c r="E282" s="186"/>
      <c r="G282" s="185"/>
      <c r="I282" s="184"/>
    </row>
    <row r="283" spans="5:9">
      <c r="E283" s="186"/>
      <c r="G283" s="185"/>
      <c r="I283" s="184"/>
    </row>
    <row r="284" spans="5:9">
      <c r="E284" s="186"/>
      <c r="G284" s="185"/>
      <c r="I284" s="184"/>
    </row>
    <row r="285" spans="5:9">
      <c r="E285" s="186"/>
      <c r="G285" s="185"/>
      <c r="I285" s="184"/>
    </row>
    <row r="286" spans="5:9">
      <c r="E286" s="186"/>
      <c r="G286" s="185"/>
      <c r="I286" s="184"/>
    </row>
    <row r="287" spans="5:9">
      <c r="E287" s="186"/>
      <c r="G287" s="185"/>
      <c r="I287" s="184"/>
    </row>
    <row r="288" spans="5:9">
      <c r="E288" s="186"/>
      <c r="G288" s="185"/>
      <c r="I288" s="184"/>
    </row>
    <row r="289" spans="5:9">
      <c r="E289" s="186"/>
      <c r="G289" s="185"/>
      <c r="I289" s="184"/>
    </row>
    <row r="290" spans="5:9">
      <c r="E290" s="186"/>
      <c r="G290" s="185"/>
      <c r="I290" s="184"/>
    </row>
    <row r="291" spans="5:9">
      <c r="E291" s="186"/>
      <c r="G291" s="185"/>
      <c r="I291" s="184"/>
    </row>
    <row r="292" spans="5:9">
      <c r="E292" s="186"/>
      <c r="G292" s="185"/>
      <c r="I292" s="184"/>
    </row>
    <row r="293" spans="5:9">
      <c r="E293" s="186"/>
      <c r="G293" s="185"/>
      <c r="I293" s="184"/>
    </row>
    <row r="294" spans="5:9">
      <c r="E294" s="186"/>
      <c r="G294" s="185"/>
      <c r="I294" s="184"/>
    </row>
    <row r="295" spans="5:9">
      <c r="E295" s="186"/>
      <c r="G295" s="185"/>
      <c r="I295" s="184"/>
    </row>
    <row r="296" spans="5:9">
      <c r="E296" s="186"/>
      <c r="G296" s="185"/>
      <c r="I296" s="184"/>
    </row>
    <row r="297" spans="5:9">
      <c r="E297" s="186"/>
      <c r="G297" s="185"/>
      <c r="I297" s="184"/>
    </row>
    <row r="298" spans="5:9">
      <c r="E298" s="186"/>
      <c r="G298" s="185"/>
      <c r="I298" s="184"/>
    </row>
    <row r="299" spans="5:9">
      <c r="E299" s="186"/>
      <c r="G299" s="185"/>
      <c r="I299" s="184"/>
    </row>
    <row r="300" spans="5:9">
      <c r="E300" s="186"/>
      <c r="G300" s="185"/>
      <c r="I300" s="184"/>
    </row>
    <row r="301" spans="5:9">
      <c r="E301" s="186"/>
      <c r="G301" s="185"/>
      <c r="I301" s="184"/>
    </row>
    <row r="302" spans="5:9">
      <c r="E302" s="186"/>
      <c r="G302" s="185"/>
      <c r="I302" s="184"/>
    </row>
    <row r="303" spans="5:9">
      <c r="E303" s="186"/>
      <c r="G303" s="185"/>
      <c r="I303" s="184"/>
    </row>
    <row r="304" spans="5:9">
      <c r="E304" s="186"/>
      <c r="G304" s="185"/>
      <c r="I304" s="184"/>
    </row>
    <row r="305" spans="5:9">
      <c r="E305" s="186"/>
      <c r="G305" s="185"/>
      <c r="I305" s="184"/>
    </row>
    <row r="306" spans="5:9">
      <c r="E306" s="186"/>
      <c r="G306" s="185"/>
      <c r="I306" s="184"/>
    </row>
    <row r="307" spans="5:9">
      <c r="E307" s="186"/>
      <c r="G307" s="185"/>
      <c r="I307" s="184"/>
    </row>
    <row r="308" spans="5:9">
      <c r="E308" s="186"/>
      <c r="G308" s="185"/>
      <c r="I308" s="184"/>
    </row>
    <row r="309" spans="5:9">
      <c r="E309" s="186"/>
      <c r="G309" s="185"/>
      <c r="I309" s="184"/>
    </row>
    <row r="310" spans="5:9">
      <c r="E310" s="186"/>
      <c r="G310" s="185"/>
      <c r="I310" s="184"/>
    </row>
    <row r="311" spans="5:9">
      <c r="E311" s="186"/>
      <c r="G311" s="185"/>
      <c r="I311" s="184"/>
    </row>
    <row r="312" spans="5:9">
      <c r="E312" s="186"/>
      <c r="G312" s="185"/>
      <c r="I312" s="184"/>
    </row>
    <row r="313" spans="5:9">
      <c r="E313" s="186"/>
      <c r="G313" s="185"/>
      <c r="I313" s="184"/>
    </row>
    <row r="314" spans="5:9">
      <c r="E314" s="186"/>
      <c r="G314" s="185"/>
      <c r="I314" s="184"/>
    </row>
    <row r="315" spans="5:9">
      <c r="E315" s="186"/>
      <c r="G315" s="185"/>
      <c r="I315" s="184"/>
    </row>
    <row r="316" spans="5:9">
      <c r="E316" s="186"/>
      <c r="G316" s="185"/>
      <c r="I316" s="184"/>
    </row>
    <row r="317" spans="5:9">
      <c r="E317" s="186"/>
      <c r="G317" s="185"/>
      <c r="I317" s="184"/>
    </row>
    <row r="318" spans="5:9">
      <c r="E318" s="186"/>
      <c r="G318" s="185"/>
      <c r="I318" s="184"/>
    </row>
    <row r="319" spans="5:9">
      <c r="E319" s="186"/>
      <c r="G319" s="185"/>
      <c r="I319" s="184"/>
    </row>
    <row r="320" spans="5:9">
      <c r="E320" s="186"/>
      <c r="G320" s="185"/>
      <c r="I320" s="184"/>
    </row>
    <row r="321" spans="5:9">
      <c r="E321" s="186"/>
      <c r="G321" s="185"/>
      <c r="I321" s="184"/>
    </row>
    <row r="322" spans="5:9">
      <c r="E322" s="186"/>
      <c r="G322" s="185"/>
      <c r="I322" s="184"/>
    </row>
    <row r="323" spans="5:9">
      <c r="E323" s="186"/>
      <c r="G323" s="185"/>
      <c r="I323" s="184"/>
    </row>
    <row r="324" spans="5:9">
      <c r="E324" s="186"/>
      <c r="G324" s="185"/>
      <c r="I324" s="184"/>
    </row>
    <row r="325" spans="5:9">
      <c r="E325" s="186"/>
      <c r="G325" s="185"/>
      <c r="I325" s="184"/>
    </row>
    <row r="326" spans="5:9">
      <c r="E326" s="186"/>
      <c r="G326" s="185"/>
      <c r="I326" s="184"/>
    </row>
    <row r="327" spans="5:9">
      <c r="E327" s="186"/>
      <c r="G327" s="185"/>
      <c r="I327" s="184"/>
    </row>
    <row r="328" spans="5:9">
      <c r="E328" s="186"/>
      <c r="G328" s="185"/>
      <c r="I328" s="184"/>
    </row>
    <row r="329" spans="5:9">
      <c r="E329" s="186"/>
      <c r="G329" s="185"/>
      <c r="I329" s="184"/>
    </row>
    <row r="330" spans="5:9">
      <c r="E330" s="186"/>
      <c r="G330" s="185"/>
      <c r="I330" s="184"/>
    </row>
    <row r="331" spans="5:9">
      <c r="E331" s="186"/>
      <c r="G331" s="185"/>
      <c r="I331" s="184"/>
    </row>
    <row r="332" spans="5:9">
      <c r="E332" s="186"/>
      <c r="G332" s="185"/>
      <c r="I332" s="184"/>
    </row>
    <row r="333" spans="5:9">
      <c r="E333" s="186"/>
      <c r="G333" s="185"/>
      <c r="I333" s="184"/>
    </row>
    <row r="334" spans="5:9">
      <c r="E334" s="186"/>
      <c r="G334" s="185"/>
      <c r="I334" s="184"/>
    </row>
    <row r="335" spans="5:9">
      <c r="E335" s="186"/>
      <c r="G335" s="185"/>
      <c r="I335" s="184"/>
    </row>
    <row r="336" spans="5:9">
      <c r="E336" s="186"/>
      <c r="G336" s="185"/>
      <c r="I336" s="184"/>
    </row>
    <row r="337" spans="5:9">
      <c r="E337" s="186"/>
      <c r="G337" s="185"/>
      <c r="I337" s="184"/>
    </row>
    <row r="338" spans="5:9">
      <c r="E338" s="186"/>
      <c r="G338" s="185"/>
      <c r="I338" s="184"/>
    </row>
    <row r="339" spans="5:9">
      <c r="E339" s="186"/>
      <c r="G339" s="185"/>
      <c r="I339" s="184"/>
    </row>
    <row r="340" spans="5:9">
      <c r="E340" s="186"/>
      <c r="G340" s="185"/>
      <c r="I340" s="184"/>
    </row>
    <row r="341" spans="5:9">
      <c r="E341" s="186"/>
      <c r="G341" s="185"/>
      <c r="I341" s="184"/>
    </row>
    <row r="342" spans="5:9">
      <c r="E342" s="186"/>
      <c r="G342" s="185"/>
      <c r="I342" s="184"/>
    </row>
    <row r="343" spans="5:9">
      <c r="E343" s="186"/>
      <c r="G343" s="185"/>
      <c r="I343" s="184"/>
    </row>
    <row r="344" spans="5:9">
      <c r="E344" s="186"/>
      <c r="G344" s="185"/>
      <c r="I344" s="184"/>
    </row>
    <row r="345" spans="5:9">
      <c r="E345" s="186"/>
      <c r="G345" s="185"/>
      <c r="I345" s="184"/>
    </row>
    <row r="346" spans="5:9">
      <c r="E346" s="186"/>
      <c r="G346" s="185"/>
      <c r="I346" s="184"/>
    </row>
    <row r="347" spans="5:9">
      <c r="E347" s="186"/>
      <c r="G347" s="185"/>
      <c r="I347" s="184"/>
    </row>
    <row r="348" spans="5:9">
      <c r="E348" s="186"/>
      <c r="G348" s="185"/>
      <c r="I348" s="184"/>
    </row>
    <row r="349" spans="5:9">
      <c r="E349" s="186"/>
      <c r="G349" s="185"/>
      <c r="I349" s="184"/>
    </row>
    <row r="350" spans="5:9">
      <c r="E350" s="186"/>
      <c r="G350" s="185"/>
      <c r="I350" s="184"/>
    </row>
    <row r="351" spans="5:9">
      <c r="E351" s="186"/>
      <c r="G351" s="185"/>
      <c r="I351" s="184"/>
    </row>
    <row r="352" spans="5:9">
      <c r="E352" s="186"/>
      <c r="G352" s="185"/>
      <c r="I352" s="184"/>
    </row>
    <row r="353" spans="5:9">
      <c r="E353" s="186"/>
      <c r="G353" s="185"/>
      <c r="I353" s="184"/>
    </row>
    <row r="354" spans="5:9">
      <c r="E354" s="186"/>
      <c r="G354" s="185"/>
      <c r="I354" s="184"/>
    </row>
    <row r="355" spans="5:9">
      <c r="E355" s="186"/>
      <c r="G355" s="185"/>
      <c r="I355" s="184"/>
    </row>
    <row r="356" spans="5:9">
      <c r="E356" s="186"/>
      <c r="G356" s="185"/>
      <c r="I356" s="184"/>
    </row>
    <row r="357" spans="5:9">
      <c r="E357" s="186"/>
      <c r="G357" s="185"/>
      <c r="I357" s="184"/>
    </row>
    <row r="358" spans="5:9">
      <c r="E358" s="186"/>
      <c r="G358" s="185"/>
      <c r="I358" s="184"/>
    </row>
    <row r="359" spans="5:9">
      <c r="E359" s="186"/>
      <c r="G359" s="185"/>
      <c r="I359" s="184"/>
    </row>
    <row r="360" spans="5:9">
      <c r="E360" s="186"/>
      <c r="G360" s="185"/>
      <c r="I360" s="184"/>
    </row>
    <row r="361" spans="5:9">
      <c r="E361" s="186"/>
      <c r="G361" s="185"/>
      <c r="I361" s="184"/>
    </row>
    <row r="362" spans="5:9">
      <c r="E362" s="186"/>
      <c r="G362" s="185"/>
      <c r="I362" s="184"/>
    </row>
    <row r="363" spans="5:9">
      <c r="E363" s="186"/>
      <c r="G363" s="185"/>
      <c r="I363" s="184"/>
    </row>
    <row r="364" spans="5:9">
      <c r="E364" s="186"/>
      <c r="G364" s="185"/>
      <c r="I364" s="184"/>
    </row>
    <row r="365" spans="5:9">
      <c r="E365" s="186"/>
      <c r="G365" s="185"/>
      <c r="I365" s="184"/>
    </row>
    <row r="366" spans="5:9">
      <c r="E366" s="186"/>
      <c r="G366" s="185"/>
      <c r="I366" s="184"/>
    </row>
    <row r="367" spans="5:9">
      <c r="E367" s="186"/>
      <c r="G367" s="185"/>
      <c r="I367" s="184"/>
    </row>
    <row r="368" spans="5:9">
      <c r="E368" s="186"/>
      <c r="G368" s="185"/>
      <c r="I368" s="184"/>
    </row>
    <row r="369" spans="5:9">
      <c r="E369" s="186"/>
      <c r="G369" s="185"/>
      <c r="I369" s="184"/>
    </row>
    <row r="370" spans="5:9">
      <c r="E370" s="186"/>
      <c r="G370" s="185"/>
      <c r="I370" s="184"/>
    </row>
    <row r="371" spans="5:9">
      <c r="E371" s="186"/>
      <c r="G371" s="185"/>
      <c r="I371" s="184"/>
    </row>
    <row r="372" spans="5:9">
      <c r="E372" s="186"/>
      <c r="G372" s="185"/>
      <c r="I372" s="184"/>
    </row>
    <row r="373" spans="5:9">
      <c r="E373" s="186"/>
      <c r="G373" s="185"/>
      <c r="I373" s="184"/>
    </row>
    <row r="374" spans="5:9">
      <c r="E374" s="186"/>
      <c r="G374" s="185"/>
      <c r="I374" s="184"/>
    </row>
    <row r="375" spans="5:9">
      <c r="E375" s="186"/>
      <c r="G375" s="185"/>
      <c r="I375" s="184"/>
    </row>
    <row r="376" spans="5:9">
      <c r="E376" s="186"/>
      <c r="G376" s="185"/>
      <c r="I376" s="184"/>
    </row>
    <row r="377" spans="5:9">
      <c r="E377" s="186"/>
      <c r="G377" s="185"/>
      <c r="I377" s="184"/>
    </row>
    <row r="378" spans="5:9">
      <c r="E378" s="186"/>
      <c r="G378" s="185"/>
      <c r="I378" s="184"/>
    </row>
    <row r="379" spans="5:9">
      <c r="E379" s="186"/>
      <c r="G379" s="185"/>
      <c r="I379" s="184"/>
    </row>
    <row r="380" spans="5:9">
      <c r="E380" s="186"/>
      <c r="G380" s="185"/>
      <c r="I380" s="184"/>
    </row>
    <row r="381" spans="5:9">
      <c r="E381" s="186"/>
      <c r="G381" s="185"/>
      <c r="I381" s="184"/>
    </row>
    <row r="382" spans="5:9">
      <c r="E382" s="186"/>
      <c r="G382" s="185"/>
      <c r="I382" s="184"/>
    </row>
    <row r="383" spans="5:9">
      <c r="E383" s="186"/>
      <c r="G383" s="185"/>
      <c r="I383" s="184"/>
    </row>
    <row r="384" spans="5:9">
      <c r="E384" s="186"/>
      <c r="G384" s="185"/>
      <c r="I384" s="184"/>
    </row>
    <row r="385" spans="5:9">
      <c r="E385" s="186"/>
      <c r="G385" s="185"/>
      <c r="I385" s="184"/>
    </row>
    <row r="386" spans="5:9">
      <c r="E386" s="186"/>
      <c r="G386" s="185"/>
      <c r="I386" s="184"/>
    </row>
    <row r="387" spans="5:9">
      <c r="E387" s="186"/>
      <c r="G387" s="185"/>
      <c r="I387" s="184"/>
    </row>
    <row r="388" spans="5:9">
      <c r="E388" s="186"/>
      <c r="G388" s="185"/>
      <c r="I388" s="184"/>
    </row>
    <row r="389" spans="5:9">
      <c r="E389" s="186"/>
      <c r="G389" s="185"/>
      <c r="I389" s="184"/>
    </row>
    <row r="390" spans="5:9">
      <c r="E390" s="186"/>
      <c r="G390" s="185"/>
      <c r="I390" s="184"/>
    </row>
    <row r="391" spans="5:9">
      <c r="E391" s="186"/>
      <c r="G391" s="185"/>
      <c r="I391" s="184"/>
    </row>
    <row r="392" spans="5:9">
      <c r="E392" s="186"/>
      <c r="G392" s="185"/>
      <c r="I392" s="184"/>
    </row>
    <row r="393" spans="5:9">
      <c r="E393" s="186"/>
      <c r="G393" s="185"/>
      <c r="I393" s="184"/>
    </row>
    <row r="394" spans="5:9">
      <c r="E394" s="186"/>
      <c r="G394" s="185"/>
      <c r="I394" s="184"/>
    </row>
    <row r="395" spans="5:9">
      <c r="E395" s="186"/>
      <c r="G395" s="185"/>
      <c r="I395" s="184"/>
    </row>
    <row r="396" spans="5:9">
      <c r="E396" s="186"/>
      <c r="G396" s="185"/>
      <c r="I396" s="184"/>
    </row>
    <row r="397" spans="5:9">
      <c r="E397" s="186"/>
      <c r="G397" s="185"/>
      <c r="I397" s="184"/>
    </row>
    <row r="398" spans="5:9">
      <c r="E398" s="186"/>
      <c r="G398" s="185"/>
      <c r="I398" s="184"/>
    </row>
    <row r="399" spans="5:9">
      <c r="E399" s="186"/>
      <c r="G399" s="185"/>
      <c r="I399" s="184"/>
    </row>
    <row r="400" spans="5:9">
      <c r="E400" s="186"/>
      <c r="G400" s="185"/>
      <c r="I400" s="184"/>
    </row>
    <row r="401" spans="5:9">
      <c r="E401" s="186"/>
      <c r="G401" s="185"/>
      <c r="I401" s="184"/>
    </row>
    <row r="402" spans="5:9">
      <c r="E402" s="186"/>
      <c r="G402" s="185"/>
      <c r="I402" s="184"/>
    </row>
    <row r="403" spans="5:9">
      <c r="E403" s="186"/>
      <c r="G403" s="185"/>
      <c r="I403" s="184"/>
    </row>
    <row r="404" spans="5:9">
      <c r="E404" s="186"/>
      <c r="G404" s="185"/>
      <c r="I404" s="184"/>
    </row>
    <row r="405" spans="5:9">
      <c r="E405" s="186"/>
      <c r="G405" s="185"/>
      <c r="I405" s="184"/>
    </row>
    <row r="406" spans="5:9">
      <c r="E406" s="186"/>
      <c r="G406" s="185"/>
      <c r="I406" s="184"/>
    </row>
    <row r="407" spans="5:9">
      <c r="E407" s="186"/>
      <c r="G407" s="185"/>
      <c r="I407" s="184"/>
    </row>
    <row r="408" spans="5:9">
      <c r="E408" s="186"/>
      <c r="G408" s="185"/>
      <c r="I408" s="184"/>
    </row>
    <row r="409" spans="5:9">
      <c r="E409" s="186"/>
      <c r="G409" s="185"/>
      <c r="I409" s="184"/>
    </row>
    <row r="410" spans="5:9">
      <c r="E410" s="186"/>
      <c r="G410" s="185"/>
      <c r="I410" s="184"/>
    </row>
    <row r="411" spans="5:9">
      <c r="E411" s="186"/>
      <c r="G411" s="185"/>
      <c r="I411" s="184"/>
    </row>
    <row r="412" spans="5:9">
      <c r="E412" s="186"/>
      <c r="G412" s="185"/>
      <c r="I412" s="184"/>
    </row>
    <row r="413" spans="5:9">
      <c r="E413" s="186"/>
      <c r="G413" s="185"/>
      <c r="I413" s="184"/>
    </row>
    <row r="414" spans="5:9">
      <c r="E414" s="186"/>
      <c r="G414" s="185"/>
      <c r="I414" s="184"/>
    </row>
    <row r="415" spans="5:9">
      <c r="E415" s="186"/>
      <c r="G415" s="185"/>
      <c r="I415" s="184"/>
    </row>
    <row r="416" spans="5:9">
      <c r="E416" s="186"/>
      <c r="G416" s="185"/>
      <c r="I416" s="184"/>
    </row>
    <row r="417" spans="5:9">
      <c r="E417" s="186"/>
      <c r="G417" s="185"/>
      <c r="I417" s="184"/>
    </row>
    <row r="418" spans="5:9">
      <c r="E418" s="186"/>
      <c r="G418" s="185"/>
      <c r="I418" s="184"/>
    </row>
    <row r="419" spans="5:9">
      <c r="E419" s="186"/>
      <c r="G419" s="185"/>
      <c r="I419" s="184"/>
    </row>
    <row r="420" spans="5:9">
      <c r="E420" s="186"/>
      <c r="G420" s="185"/>
      <c r="I420" s="184"/>
    </row>
    <row r="421" spans="5:9">
      <c r="E421" s="186"/>
      <c r="G421" s="185"/>
      <c r="I421" s="184"/>
    </row>
    <row r="422" spans="5:9">
      <c r="E422" s="186"/>
      <c r="G422" s="185"/>
      <c r="I422" s="184"/>
    </row>
    <row r="423" spans="5:9">
      <c r="E423" s="186"/>
      <c r="G423" s="185"/>
      <c r="I423" s="184"/>
    </row>
    <row r="424" spans="5:9">
      <c r="E424" s="186"/>
      <c r="G424" s="185"/>
      <c r="I424" s="184"/>
    </row>
    <row r="425" spans="5:9">
      <c r="E425" s="186"/>
      <c r="G425" s="185"/>
      <c r="I425" s="184"/>
    </row>
    <row r="426" spans="5:9">
      <c r="E426" s="186"/>
      <c r="G426" s="185"/>
      <c r="I426" s="184"/>
    </row>
    <row r="427" spans="5:9">
      <c r="E427" s="186"/>
      <c r="G427" s="185"/>
      <c r="I427" s="184"/>
    </row>
    <row r="428" spans="5:9">
      <c r="E428" s="186"/>
      <c r="G428" s="185"/>
      <c r="I428" s="184"/>
    </row>
    <row r="429" spans="5:9">
      <c r="E429" s="186"/>
      <c r="G429" s="185"/>
      <c r="I429" s="184"/>
    </row>
    <row r="430" spans="5:9">
      <c r="E430" s="186"/>
      <c r="G430" s="185"/>
      <c r="I430" s="184"/>
    </row>
    <row r="431" spans="5:9">
      <c r="E431" s="186"/>
      <c r="G431" s="185"/>
      <c r="I431" s="184"/>
    </row>
    <row r="432" spans="5:9">
      <c r="E432" s="186"/>
      <c r="G432" s="185"/>
      <c r="I432" s="184"/>
    </row>
    <row r="433" spans="5:9">
      <c r="E433" s="186"/>
      <c r="G433" s="185"/>
      <c r="I433" s="184"/>
    </row>
    <row r="434" spans="5:9">
      <c r="E434" s="186"/>
      <c r="G434" s="185"/>
      <c r="I434" s="184"/>
    </row>
    <row r="435" spans="5:9">
      <c r="E435" s="186"/>
      <c r="G435" s="185"/>
      <c r="I435" s="184"/>
    </row>
    <row r="436" spans="5:9">
      <c r="E436" s="186"/>
      <c r="G436" s="185"/>
      <c r="I436" s="184"/>
    </row>
    <row r="437" spans="5:9">
      <c r="E437" s="186"/>
      <c r="G437" s="185"/>
      <c r="I437" s="184"/>
    </row>
    <row r="438" spans="5:9">
      <c r="E438" s="186"/>
      <c r="G438" s="185"/>
      <c r="I438" s="184"/>
    </row>
    <row r="439" spans="5:9">
      <c r="E439" s="186"/>
      <c r="G439" s="185"/>
      <c r="I439" s="184"/>
    </row>
    <row r="440" spans="5:9">
      <c r="E440" s="186"/>
      <c r="G440" s="185"/>
      <c r="I440" s="184"/>
    </row>
    <row r="441" spans="5:9">
      <c r="E441" s="186"/>
      <c r="G441" s="185"/>
      <c r="I441" s="184"/>
    </row>
    <row r="442" spans="5:9">
      <c r="E442" s="186"/>
      <c r="G442" s="185"/>
      <c r="I442" s="184"/>
    </row>
    <row r="443" spans="5:9">
      <c r="E443" s="186"/>
      <c r="G443" s="185"/>
      <c r="I443" s="184"/>
    </row>
    <row r="444" spans="5:9">
      <c r="E444" s="186"/>
      <c r="G444" s="185"/>
      <c r="I444" s="184"/>
    </row>
    <row r="445" spans="5:9">
      <c r="E445" s="186"/>
      <c r="G445" s="185"/>
      <c r="I445" s="184"/>
    </row>
    <row r="446" spans="5:9">
      <c r="E446" s="186"/>
      <c r="G446" s="185"/>
      <c r="I446" s="184"/>
    </row>
    <row r="447" spans="5:9">
      <c r="E447" s="186"/>
      <c r="G447" s="185"/>
      <c r="I447" s="184"/>
    </row>
    <row r="448" spans="5:9">
      <c r="E448" s="186"/>
      <c r="G448" s="185"/>
      <c r="I448" s="184"/>
    </row>
    <row r="449" spans="5:9">
      <c r="E449" s="186"/>
      <c r="G449" s="185"/>
      <c r="I449" s="184"/>
    </row>
    <row r="450" spans="5:9">
      <c r="E450" s="186"/>
      <c r="G450" s="185"/>
      <c r="I450" s="184"/>
    </row>
    <row r="451" spans="5:9">
      <c r="E451" s="186"/>
      <c r="G451" s="185"/>
      <c r="I451" s="184"/>
    </row>
    <row r="452" spans="5:9">
      <c r="E452" s="186"/>
      <c r="G452" s="185"/>
      <c r="I452" s="184"/>
    </row>
    <row r="453" spans="5:9">
      <c r="E453" s="186"/>
      <c r="G453" s="185"/>
      <c r="I453" s="184"/>
    </row>
    <row r="454" spans="5:9">
      <c r="E454" s="186"/>
      <c r="G454" s="185"/>
      <c r="I454" s="184"/>
    </row>
    <row r="455" spans="5:9">
      <c r="E455" s="186"/>
      <c r="G455" s="185"/>
      <c r="I455" s="184"/>
    </row>
    <row r="456" spans="5:9">
      <c r="E456" s="186"/>
      <c r="G456" s="185"/>
      <c r="I456" s="184"/>
    </row>
    <row r="457" spans="5:9">
      <c r="E457" s="186"/>
      <c r="G457" s="185"/>
      <c r="I457" s="184"/>
    </row>
    <row r="458" spans="5:9">
      <c r="E458" s="186"/>
      <c r="G458" s="185"/>
      <c r="I458" s="184"/>
    </row>
    <row r="459" spans="5:9">
      <c r="E459" s="186"/>
      <c r="G459" s="185"/>
      <c r="I459" s="184"/>
    </row>
    <row r="460" spans="5:9">
      <c r="E460" s="186"/>
      <c r="G460" s="185"/>
      <c r="I460" s="184"/>
    </row>
    <row r="461" spans="5:9">
      <c r="E461" s="186"/>
      <c r="G461" s="185"/>
      <c r="I461" s="184"/>
    </row>
    <row r="462" spans="5:9">
      <c r="E462" s="186"/>
      <c r="G462" s="185"/>
      <c r="I462" s="184"/>
    </row>
    <row r="463" spans="5:9">
      <c r="E463" s="186"/>
      <c r="G463" s="185"/>
      <c r="I463" s="184"/>
    </row>
    <row r="464" spans="5:9">
      <c r="E464" s="186"/>
      <c r="G464" s="185"/>
      <c r="I464" s="184"/>
    </row>
    <row r="465" spans="5:9">
      <c r="E465" s="186"/>
      <c r="G465" s="185"/>
      <c r="I465" s="184"/>
    </row>
    <row r="466" spans="5:9">
      <c r="E466" s="186"/>
      <c r="G466" s="185"/>
      <c r="I466" s="184"/>
    </row>
    <row r="467" spans="5:9">
      <c r="E467" s="186"/>
      <c r="G467" s="185"/>
      <c r="I467" s="184"/>
    </row>
    <row r="468" spans="5:9">
      <c r="E468" s="186"/>
      <c r="G468" s="185"/>
      <c r="I468" s="184"/>
    </row>
    <row r="469" spans="5:9">
      <c r="E469" s="186"/>
      <c r="G469" s="185"/>
      <c r="I469" s="184"/>
    </row>
    <row r="470" spans="5:9">
      <c r="E470" s="186"/>
      <c r="G470" s="185"/>
      <c r="I470" s="184"/>
    </row>
    <row r="471" spans="5:9">
      <c r="E471" s="186"/>
      <c r="G471" s="185"/>
      <c r="I471" s="184"/>
    </row>
    <row r="472" spans="5:9">
      <c r="E472" s="186"/>
      <c r="G472" s="185"/>
      <c r="I472" s="184"/>
    </row>
    <row r="473" spans="5:9">
      <c r="E473" s="186"/>
      <c r="G473" s="185"/>
      <c r="I473" s="184"/>
    </row>
    <row r="474" spans="5:9">
      <c r="E474" s="186"/>
      <c r="G474" s="185"/>
      <c r="I474" s="184"/>
    </row>
    <row r="475" spans="5:9">
      <c r="E475" s="186"/>
      <c r="G475" s="185"/>
      <c r="I475" s="184"/>
    </row>
    <row r="476" spans="5:9">
      <c r="E476" s="186"/>
      <c r="G476" s="185"/>
      <c r="I476" s="184"/>
    </row>
    <row r="477" spans="5:9">
      <c r="E477" s="186"/>
      <c r="G477" s="185"/>
      <c r="I477" s="184"/>
    </row>
    <row r="478" spans="5:9">
      <c r="E478" s="186"/>
      <c r="G478" s="185"/>
      <c r="I478" s="184"/>
    </row>
    <row r="479" spans="5:9">
      <c r="E479" s="186"/>
      <c r="G479" s="185"/>
      <c r="I479" s="184"/>
    </row>
    <row r="480" spans="5:9">
      <c r="E480" s="186"/>
      <c r="G480" s="185"/>
      <c r="I480" s="184"/>
    </row>
    <row r="481" spans="5:9">
      <c r="E481" s="186"/>
      <c r="G481" s="185"/>
      <c r="I481" s="184"/>
    </row>
    <row r="482" spans="5:9">
      <c r="E482" s="186"/>
      <c r="G482" s="185"/>
      <c r="I482" s="184"/>
    </row>
    <row r="483" spans="5:9">
      <c r="E483" s="186"/>
      <c r="G483" s="185"/>
      <c r="I483" s="184"/>
    </row>
    <row r="484" spans="5:9">
      <c r="E484" s="186"/>
      <c r="G484" s="185"/>
      <c r="I484" s="184"/>
    </row>
    <row r="485" spans="5:9">
      <c r="E485" s="186"/>
      <c r="G485" s="185"/>
      <c r="I485" s="184"/>
    </row>
    <row r="486" spans="5:9">
      <c r="E486" s="186"/>
      <c r="G486" s="185"/>
      <c r="I486" s="184"/>
    </row>
    <row r="487" spans="5:9">
      <c r="E487" s="186"/>
      <c r="G487" s="185"/>
      <c r="I487" s="184"/>
    </row>
    <row r="488" spans="5:9">
      <c r="E488" s="186"/>
      <c r="G488" s="185"/>
      <c r="I488" s="184"/>
    </row>
    <row r="489" spans="5:9">
      <c r="E489" s="186"/>
      <c r="G489" s="185"/>
      <c r="I489" s="184"/>
    </row>
    <row r="490" spans="5:9">
      <c r="E490" s="186"/>
      <c r="G490" s="185"/>
      <c r="I490" s="184"/>
    </row>
    <row r="491" spans="5:9">
      <c r="E491" s="186"/>
      <c r="G491" s="185"/>
      <c r="I491" s="184"/>
    </row>
    <row r="492" spans="5:9">
      <c r="E492" s="186"/>
      <c r="G492" s="185"/>
      <c r="I492" s="184"/>
    </row>
    <row r="493" spans="5:9">
      <c r="E493" s="186"/>
      <c r="G493" s="185"/>
      <c r="I493" s="184"/>
    </row>
    <row r="494" spans="5:9">
      <c r="E494" s="186"/>
      <c r="G494" s="185"/>
      <c r="I494" s="184"/>
    </row>
    <row r="495" spans="5:9">
      <c r="E495" s="186"/>
      <c r="G495" s="185"/>
      <c r="I495" s="184"/>
    </row>
    <row r="496" spans="5:9">
      <c r="E496" s="186"/>
      <c r="G496" s="185"/>
      <c r="I496" s="184"/>
    </row>
    <row r="497" spans="5:9">
      <c r="E497" s="186"/>
      <c r="G497" s="185"/>
      <c r="I497" s="184"/>
    </row>
    <row r="498" spans="5:9">
      <c r="E498" s="186"/>
      <c r="G498" s="185"/>
      <c r="I498" s="184"/>
    </row>
    <row r="499" spans="5:9">
      <c r="E499" s="186"/>
      <c r="G499" s="185"/>
      <c r="I499" s="184"/>
    </row>
    <row r="500" spans="5:9">
      <c r="E500" s="186"/>
      <c r="G500" s="185"/>
      <c r="I500" s="184"/>
    </row>
    <row r="501" spans="5:9">
      <c r="E501" s="186"/>
      <c r="G501" s="185"/>
      <c r="I501" s="184"/>
    </row>
    <row r="502" spans="5:9">
      <c r="E502" s="186"/>
      <c r="G502" s="185"/>
      <c r="I502" s="184"/>
    </row>
    <row r="503" spans="5:9">
      <c r="E503" s="186"/>
      <c r="G503" s="185"/>
      <c r="I503" s="184"/>
    </row>
    <row r="504" spans="5:9">
      <c r="E504" s="186"/>
      <c r="G504" s="185"/>
      <c r="I504" s="184"/>
    </row>
    <row r="505" spans="5:9">
      <c r="E505" s="186"/>
      <c r="G505" s="185"/>
      <c r="I505" s="184"/>
    </row>
    <row r="506" spans="5:9">
      <c r="E506" s="186"/>
      <c r="G506" s="185"/>
      <c r="I506" s="184"/>
    </row>
    <row r="507" spans="5:9">
      <c r="E507" s="186"/>
      <c r="G507" s="185"/>
      <c r="I507" s="184"/>
    </row>
    <row r="508" spans="5:9">
      <c r="E508" s="186"/>
      <c r="G508" s="185"/>
      <c r="I508" s="184"/>
    </row>
    <row r="509" spans="5:9">
      <c r="E509" s="186"/>
      <c r="G509" s="185"/>
      <c r="I509" s="184"/>
    </row>
    <row r="510" spans="5:9">
      <c r="E510" s="186"/>
      <c r="G510" s="185"/>
      <c r="I510" s="184"/>
    </row>
    <row r="511" spans="5:9">
      <c r="E511" s="186"/>
      <c r="G511" s="185"/>
      <c r="I511" s="184"/>
    </row>
    <row r="512" spans="5:9">
      <c r="E512" s="186"/>
      <c r="G512" s="185"/>
      <c r="I512" s="184"/>
    </row>
    <row r="513" spans="5:9">
      <c r="E513" s="186"/>
      <c r="G513" s="185"/>
      <c r="I513" s="184"/>
    </row>
    <row r="514" spans="5:9">
      <c r="E514" s="186"/>
      <c r="G514" s="185"/>
      <c r="I514" s="184"/>
    </row>
    <row r="515" spans="5:9">
      <c r="E515" s="186"/>
      <c r="G515" s="185"/>
      <c r="I515" s="184"/>
    </row>
    <row r="516" spans="5:9">
      <c r="E516" s="186"/>
      <c r="G516" s="185"/>
      <c r="I516" s="184"/>
    </row>
    <row r="517" spans="5:9">
      <c r="E517" s="186"/>
      <c r="G517" s="185"/>
      <c r="I517" s="184"/>
    </row>
    <row r="518" spans="5:9">
      <c r="E518" s="186"/>
      <c r="G518" s="185"/>
      <c r="I518" s="184"/>
    </row>
    <row r="519" spans="5:9">
      <c r="E519" s="186"/>
      <c r="G519" s="185"/>
      <c r="I519" s="184"/>
    </row>
    <row r="520" spans="5:9">
      <c r="E520" s="186"/>
      <c r="G520" s="185"/>
      <c r="I520" s="184"/>
    </row>
    <row r="521" spans="5:9">
      <c r="E521" s="186"/>
      <c r="G521" s="185"/>
      <c r="I521" s="184"/>
    </row>
    <row r="522" spans="5:9">
      <c r="E522" s="186"/>
      <c r="G522" s="185"/>
      <c r="I522" s="184"/>
    </row>
    <row r="523" spans="5:9">
      <c r="E523" s="186"/>
      <c r="G523" s="185"/>
      <c r="I523" s="184"/>
    </row>
    <row r="524" spans="5:9">
      <c r="E524" s="186"/>
      <c r="G524" s="185"/>
      <c r="I524" s="184"/>
    </row>
    <row r="525" spans="5:9">
      <c r="E525" s="186"/>
      <c r="G525" s="185"/>
      <c r="I525" s="184"/>
    </row>
    <row r="526" spans="5:9">
      <c r="E526" s="186"/>
      <c r="G526" s="185"/>
      <c r="I526" s="184"/>
    </row>
    <row r="527" spans="5:9">
      <c r="E527" s="186"/>
      <c r="G527" s="185"/>
      <c r="I527" s="184"/>
    </row>
    <row r="528" spans="5:9">
      <c r="E528" s="186"/>
      <c r="G528" s="185"/>
      <c r="I528" s="184"/>
    </row>
    <row r="529" spans="5:9">
      <c r="E529" s="186"/>
      <c r="G529" s="185"/>
      <c r="I529" s="184"/>
    </row>
    <row r="530" spans="5:9">
      <c r="E530" s="186"/>
      <c r="G530" s="185"/>
      <c r="I530" s="184"/>
    </row>
    <row r="531" spans="5:9">
      <c r="E531" s="186"/>
      <c r="G531" s="185"/>
      <c r="I531" s="184"/>
    </row>
    <row r="532" spans="5:9">
      <c r="E532" s="186"/>
      <c r="G532" s="185"/>
      <c r="I532" s="184"/>
    </row>
    <row r="533" spans="5:9">
      <c r="E533" s="186"/>
      <c r="G533" s="185"/>
      <c r="I533" s="184"/>
    </row>
    <row r="534" spans="5:9">
      <c r="E534" s="186"/>
      <c r="G534" s="185"/>
      <c r="I534" s="184"/>
    </row>
    <row r="535" spans="5:9">
      <c r="E535" s="186"/>
      <c r="G535" s="185"/>
      <c r="I535" s="184"/>
    </row>
    <row r="536" spans="5:9">
      <c r="E536" s="186"/>
      <c r="G536" s="185"/>
      <c r="I536" s="184"/>
    </row>
    <row r="537" spans="5:9">
      <c r="E537" s="186"/>
      <c r="G537" s="185"/>
      <c r="I537" s="184"/>
    </row>
    <row r="538" spans="5:9">
      <c r="E538" s="186"/>
      <c r="G538" s="185"/>
      <c r="I538" s="184"/>
    </row>
    <row r="539" spans="5:9">
      <c r="E539" s="186"/>
      <c r="G539" s="185"/>
      <c r="I539" s="184"/>
    </row>
    <row r="540" spans="5:9">
      <c r="E540" s="186"/>
      <c r="G540" s="185"/>
      <c r="I540" s="184"/>
    </row>
    <row r="541" spans="5:9">
      <c r="E541" s="186"/>
      <c r="G541" s="185"/>
      <c r="I541" s="184"/>
    </row>
    <row r="542" spans="5:9">
      <c r="E542" s="186"/>
      <c r="G542" s="185"/>
      <c r="I542" s="184"/>
    </row>
    <row r="543" spans="5:9">
      <c r="E543" s="186"/>
      <c r="G543" s="185"/>
      <c r="I543" s="184"/>
    </row>
    <row r="544" spans="5:9">
      <c r="E544" s="186"/>
      <c r="G544" s="185"/>
      <c r="I544" s="184"/>
    </row>
    <row r="545" spans="5:9">
      <c r="E545" s="186"/>
      <c r="G545" s="185"/>
      <c r="I545" s="184"/>
    </row>
    <row r="546" spans="5:9">
      <c r="E546" s="186"/>
      <c r="G546" s="185"/>
      <c r="I546" s="184"/>
    </row>
    <row r="547" spans="5:9">
      <c r="E547" s="186"/>
      <c r="G547" s="185"/>
      <c r="I547" s="184"/>
    </row>
    <row r="548" spans="5:9">
      <c r="E548" s="186"/>
      <c r="G548" s="185"/>
      <c r="I548" s="184"/>
    </row>
    <row r="549" spans="5:9">
      <c r="E549" s="186"/>
      <c r="G549" s="185"/>
      <c r="I549" s="184"/>
    </row>
    <row r="550" spans="5:9">
      <c r="E550" s="186"/>
      <c r="G550" s="185"/>
      <c r="I550" s="184"/>
    </row>
    <row r="551" spans="5:9">
      <c r="E551" s="186"/>
      <c r="G551" s="185"/>
      <c r="I551" s="184"/>
    </row>
    <row r="552" spans="5:9">
      <c r="E552" s="186"/>
      <c r="G552" s="185"/>
      <c r="I552" s="184"/>
    </row>
    <row r="553" spans="5:9">
      <c r="E553" s="186"/>
      <c r="G553" s="185"/>
      <c r="I553" s="184"/>
    </row>
    <row r="554" spans="5:9">
      <c r="E554" s="186"/>
      <c r="G554" s="185"/>
      <c r="I554" s="184"/>
    </row>
    <row r="555" spans="5:9">
      <c r="E555" s="186"/>
      <c r="G555" s="185"/>
      <c r="I555" s="184"/>
    </row>
    <row r="556" spans="5:9">
      <c r="E556" s="186"/>
      <c r="G556" s="185"/>
      <c r="I556" s="184"/>
    </row>
    <row r="557" spans="5:9">
      <c r="E557" s="186"/>
      <c r="G557" s="185"/>
      <c r="I557" s="184"/>
    </row>
    <row r="558" spans="5:9">
      <c r="E558" s="186"/>
      <c r="G558" s="185"/>
      <c r="I558" s="184"/>
    </row>
    <row r="559" spans="5:9">
      <c r="E559" s="186"/>
      <c r="G559" s="185"/>
      <c r="I559" s="184"/>
    </row>
    <row r="560" spans="5:9">
      <c r="E560" s="186"/>
      <c r="G560" s="185"/>
      <c r="I560" s="184"/>
    </row>
    <row r="561" spans="5:9">
      <c r="E561" s="186"/>
      <c r="G561" s="185"/>
      <c r="I561" s="184"/>
    </row>
    <row r="562" spans="5:9">
      <c r="E562" s="186"/>
      <c r="G562" s="185"/>
      <c r="I562" s="184"/>
    </row>
    <row r="563" spans="5:9">
      <c r="E563" s="186"/>
      <c r="G563" s="185"/>
      <c r="I563" s="184"/>
    </row>
    <row r="564" spans="5:9">
      <c r="E564" s="186"/>
      <c r="G564" s="185"/>
      <c r="I564" s="184"/>
    </row>
    <row r="565" spans="5:9">
      <c r="E565" s="186"/>
      <c r="G565" s="185"/>
      <c r="I565" s="184"/>
    </row>
    <row r="566" spans="5:9">
      <c r="E566" s="186"/>
      <c r="G566" s="185"/>
      <c r="I566" s="184"/>
    </row>
    <row r="567" spans="5:9">
      <c r="E567" s="186"/>
      <c r="G567" s="185"/>
      <c r="I567" s="184"/>
    </row>
    <row r="568" spans="5:9">
      <c r="E568" s="186"/>
      <c r="G568" s="185"/>
      <c r="I568" s="184"/>
    </row>
    <row r="569" spans="5:9">
      <c r="E569" s="186"/>
      <c r="G569" s="185"/>
      <c r="I569" s="184"/>
    </row>
    <row r="570" spans="5:9">
      <c r="E570" s="186"/>
      <c r="G570" s="185"/>
      <c r="I570" s="184"/>
    </row>
    <row r="571" spans="5:9">
      <c r="E571" s="186"/>
      <c r="G571" s="185"/>
      <c r="I571" s="184"/>
    </row>
    <row r="572" spans="5:9">
      <c r="E572" s="186"/>
      <c r="G572" s="185"/>
      <c r="I572" s="184"/>
    </row>
    <row r="573" spans="5:9">
      <c r="E573" s="186"/>
      <c r="G573" s="185"/>
      <c r="I573" s="184"/>
    </row>
    <row r="574" spans="5:9">
      <c r="E574" s="186"/>
      <c r="G574" s="185"/>
      <c r="I574" s="184"/>
    </row>
    <row r="575" spans="5:9">
      <c r="E575" s="186"/>
      <c r="G575" s="185"/>
      <c r="I575" s="184"/>
    </row>
    <row r="576" spans="5:9">
      <c r="E576" s="186"/>
      <c r="G576" s="185"/>
      <c r="I576" s="184"/>
    </row>
    <row r="577" spans="5:9">
      <c r="E577" s="186"/>
      <c r="G577" s="185"/>
      <c r="I577" s="184"/>
    </row>
    <row r="578" spans="5:9">
      <c r="E578" s="186"/>
      <c r="G578" s="185"/>
      <c r="I578" s="184"/>
    </row>
    <row r="579" spans="5:9">
      <c r="E579" s="186"/>
      <c r="G579" s="185"/>
      <c r="I579" s="184"/>
    </row>
    <row r="580" spans="5:9">
      <c r="E580" s="186"/>
      <c r="G580" s="185"/>
      <c r="I580" s="184"/>
    </row>
    <row r="581" spans="5:9">
      <c r="E581" s="186"/>
      <c r="G581" s="185"/>
      <c r="I581" s="184"/>
    </row>
    <row r="582" spans="5:9">
      <c r="E582" s="186"/>
      <c r="G582" s="185"/>
      <c r="I582" s="184"/>
    </row>
    <row r="583" spans="5:9">
      <c r="E583" s="186"/>
      <c r="G583" s="185"/>
      <c r="I583" s="184"/>
    </row>
    <row r="584" spans="5:9">
      <c r="E584" s="186"/>
      <c r="G584" s="185"/>
      <c r="I584" s="184"/>
    </row>
    <row r="585" spans="5:9">
      <c r="E585" s="186"/>
      <c r="G585" s="185"/>
      <c r="I585" s="184"/>
    </row>
    <row r="586" spans="5:9">
      <c r="E586" s="186"/>
      <c r="G586" s="185"/>
      <c r="I586" s="184"/>
    </row>
    <row r="587" spans="5:9">
      <c r="E587" s="186"/>
      <c r="G587" s="185"/>
      <c r="I587" s="184"/>
    </row>
    <row r="588" spans="5:9">
      <c r="E588" s="186"/>
      <c r="G588" s="185"/>
      <c r="I588" s="184"/>
    </row>
    <row r="589" spans="5:9">
      <c r="E589" s="186"/>
      <c r="G589" s="185"/>
      <c r="I589" s="184"/>
    </row>
    <row r="590" spans="5:9">
      <c r="E590" s="186"/>
      <c r="G590" s="185"/>
      <c r="I590" s="184"/>
    </row>
    <row r="591" spans="5:9">
      <c r="E591" s="186"/>
      <c r="G591" s="185"/>
      <c r="I591" s="184"/>
    </row>
    <row r="592" spans="5:9">
      <c r="E592" s="186"/>
      <c r="G592" s="185"/>
      <c r="I592" s="184"/>
    </row>
    <row r="593" spans="5:9">
      <c r="E593" s="186"/>
      <c r="G593" s="185"/>
      <c r="I593" s="184"/>
    </row>
    <row r="594" spans="5:9">
      <c r="E594" s="186"/>
      <c r="G594" s="185"/>
      <c r="I594" s="184"/>
    </row>
    <row r="595" spans="5:9">
      <c r="E595" s="186"/>
      <c r="G595" s="185"/>
      <c r="I595" s="184"/>
    </row>
    <row r="596" spans="5:9">
      <c r="E596" s="186"/>
      <c r="G596" s="185"/>
      <c r="I596" s="184"/>
    </row>
    <row r="597" spans="5:9">
      <c r="E597" s="186"/>
      <c r="G597" s="185"/>
      <c r="I597" s="184"/>
    </row>
    <row r="598" spans="5:9">
      <c r="E598" s="186"/>
      <c r="G598" s="185"/>
      <c r="I598" s="184"/>
    </row>
    <row r="599" spans="5:9">
      <c r="E599" s="186"/>
      <c r="G599" s="185"/>
      <c r="I599" s="184"/>
    </row>
    <row r="600" spans="5:9">
      <c r="E600" s="186"/>
      <c r="G600" s="185"/>
      <c r="I600" s="184"/>
    </row>
    <row r="601" spans="5:9">
      <c r="E601" s="186"/>
      <c r="G601" s="185"/>
      <c r="I601" s="184"/>
    </row>
    <row r="602" spans="5:9">
      <c r="E602" s="186"/>
      <c r="G602" s="185"/>
      <c r="I602" s="184"/>
    </row>
    <row r="603" spans="5:9">
      <c r="E603" s="186"/>
      <c r="G603" s="185"/>
      <c r="I603" s="184"/>
    </row>
    <row r="604" spans="5:9">
      <c r="E604" s="186"/>
      <c r="G604" s="185"/>
      <c r="I604" s="184"/>
    </row>
    <row r="605" spans="5:9">
      <c r="E605" s="186"/>
      <c r="G605" s="185"/>
      <c r="I605" s="184"/>
    </row>
    <row r="606" spans="5:9">
      <c r="E606" s="186"/>
      <c r="G606" s="185"/>
      <c r="I606" s="184"/>
    </row>
    <row r="607" spans="5:9">
      <c r="E607" s="186"/>
      <c r="G607" s="185"/>
      <c r="I607" s="184"/>
    </row>
    <row r="608" spans="5:9">
      <c r="E608" s="186"/>
      <c r="G608" s="185"/>
      <c r="I608" s="184"/>
    </row>
    <row r="609" spans="5:9">
      <c r="E609" s="186"/>
      <c r="G609" s="185"/>
      <c r="I609" s="184"/>
    </row>
    <row r="610" spans="5:9">
      <c r="E610" s="186"/>
      <c r="G610" s="185"/>
      <c r="I610" s="184"/>
    </row>
    <row r="611" spans="5:9">
      <c r="E611" s="186"/>
      <c r="G611" s="185"/>
      <c r="I611" s="184"/>
    </row>
    <row r="612" spans="5:9">
      <c r="E612" s="186"/>
      <c r="G612" s="185"/>
      <c r="I612" s="184"/>
    </row>
    <row r="613" spans="5:9">
      <c r="E613" s="186"/>
      <c r="G613" s="185"/>
      <c r="I613" s="184"/>
    </row>
    <row r="614" spans="5:9">
      <c r="E614" s="186"/>
      <c r="G614" s="185"/>
      <c r="I614" s="184"/>
    </row>
    <row r="615" spans="5:9">
      <c r="E615" s="186"/>
      <c r="G615" s="185"/>
      <c r="I615" s="184"/>
    </row>
    <row r="616" spans="5:9">
      <c r="E616" s="186"/>
      <c r="G616" s="185"/>
      <c r="I616" s="184"/>
    </row>
    <row r="617" spans="5:9">
      <c r="E617" s="186"/>
      <c r="G617" s="185"/>
      <c r="I617" s="184"/>
    </row>
    <row r="618" spans="5:9">
      <c r="E618" s="186"/>
      <c r="G618" s="185"/>
      <c r="I618" s="184"/>
    </row>
    <row r="619" spans="5:9">
      <c r="E619" s="186"/>
      <c r="G619" s="185"/>
      <c r="I619" s="184"/>
    </row>
    <row r="620" spans="5:9">
      <c r="E620" s="186"/>
      <c r="G620" s="185"/>
      <c r="I620" s="184"/>
    </row>
    <row r="621" spans="5:9">
      <c r="E621" s="186"/>
      <c r="G621" s="185"/>
      <c r="I621" s="184"/>
    </row>
    <row r="622" spans="5:9">
      <c r="E622" s="186"/>
      <c r="G622" s="185"/>
      <c r="I622" s="184"/>
    </row>
    <row r="623" spans="5:9">
      <c r="E623" s="186"/>
      <c r="G623" s="185"/>
      <c r="I623" s="184"/>
    </row>
    <row r="624" spans="5:9">
      <c r="E624" s="186"/>
      <c r="G624" s="185"/>
      <c r="I624" s="184"/>
    </row>
    <row r="625" spans="5:9">
      <c r="E625" s="186"/>
      <c r="G625" s="185"/>
      <c r="I625" s="184"/>
    </row>
    <row r="626" spans="5:9">
      <c r="E626" s="186"/>
      <c r="G626" s="185"/>
      <c r="I626" s="184"/>
    </row>
    <row r="627" spans="5:9">
      <c r="E627" s="186"/>
      <c r="G627" s="185"/>
      <c r="I627" s="184"/>
    </row>
    <row r="628" spans="5:9">
      <c r="E628" s="186"/>
      <c r="G628" s="185"/>
      <c r="I628" s="184"/>
    </row>
    <row r="629" spans="5:9">
      <c r="E629" s="186"/>
      <c r="G629" s="185"/>
      <c r="I629" s="184"/>
    </row>
    <row r="630" spans="5:9">
      <c r="E630" s="186"/>
      <c r="G630" s="185"/>
      <c r="I630" s="184"/>
    </row>
    <row r="631" spans="5:9">
      <c r="E631" s="186"/>
      <c r="G631" s="185"/>
      <c r="I631" s="184"/>
    </row>
    <row r="632" spans="5:9">
      <c r="E632" s="186"/>
      <c r="G632" s="185"/>
      <c r="I632" s="184"/>
    </row>
    <row r="633" spans="5:9">
      <c r="E633" s="186"/>
      <c r="G633" s="185"/>
      <c r="I633" s="184"/>
    </row>
    <row r="634" spans="5:9">
      <c r="E634" s="186"/>
      <c r="G634" s="185"/>
      <c r="I634" s="184"/>
    </row>
    <row r="635" spans="5:9">
      <c r="E635" s="186"/>
      <c r="G635" s="185"/>
      <c r="I635" s="184"/>
    </row>
    <row r="636" spans="5:9">
      <c r="E636" s="186"/>
      <c r="G636" s="185"/>
      <c r="I636" s="184"/>
    </row>
    <row r="637" spans="5:9">
      <c r="E637" s="186"/>
      <c r="G637" s="185"/>
      <c r="I637" s="184"/>
    </row>
    <row r="638" spans="5:9">
      <c r="E638" s="186"/>
      <c r="G638" s="185"/>
      <c r="I638" s="184"/>
    </row>
    <row r="639" spans="5:9">
      <c r="E639" s="186"/>
      <c r="G639" s="185"/>
      <c r="I639" s="184"/>
    </row>
    <row r="640" spans="5:9">
      <c r="E640" s="186"/>
      <c r="G640" s="185"/>
      <c r="I640" s="184"/>
    </row>
    <row r="641" spans="5:9">
      <c r="E641" s="186"/>
      <c r="G641" s="185"/>
      <c r="I641" s="184"/>
    </row>
    <row r="642" spans="5:9">
      <c r="E642" s="186"/>
      <c r="G642" s="185"/>
      <c r="I642" s="184"/>
    </row>
    <row r="643" spans="5:9">
      <c r="E643" s="186"/>
      <c r="G643" s="185"/>
      <c r="I643" s="184"/>
    </row>
    <row r="644" spans="5:9">
      <c r="E644" s="186"/>
      <c r="G644" s="185"/>
      <c r="I644" s="184"/>
    </row>
    <row r="645" spans="5:9">
      <c r="E645" s="186"/>
      <c r="G645" s="185"/>
      <c r="I645" s="184"/>
    </row>
    <row r="646" spans="5:9">
      <c r="E646" s="186"/>
      <c r="G646" s="185"/>
      <c r="I646" s="184"/>
    </row>
    <row r="647" spans="5:9">
      <c r="E647" s="186"/>
      <c r="G647" s="185"/>
      <c r="I647" s="184"/>
    </row>
    <row r="648" spans="5:9">
      <c r="E648" s="186"/>
      <c r="G648" s="185"/>
      <c r="I648" s="184"/>
    </row>
    <row r="649" spans="5:9">
      <c r="E649" s="186"/>
      <c r="G649" s="185"/>
      <c r="I649" s="184"/>
    </row>
    <row r="650" spans="5:9">
      <c r="E650" s="186"/>
      <c r="G650" s="185"/>
      <c r="I650" s="184"/>
    </row>
    <row r="651" spans="5:9">
      <c r="E651" s="186"/>
      <c r="G651" s="185"/>
      <c r="I651" s="184"/>
    </row>
    <row r="652" spans="5:9">
      <c r="E652" s="186"/>
      <c r="G652" s="185"/>
      <c r="I652" s="184"/>
    </row>
    <row r="653" spans="5:9">
      <c r="E653" s="186"/>
      <c r="G653" s="185"/>
      <c r="I653" s="184"/>
    </row>
    <row r="654" spans="5:9">
      <c r="E654" s="186"/>
      <c r="G654" s="185"/>
      <c r="I654" s="184"/>
    </row>
    <row r="655" spans="5:9">
      <c r="E655" s="186"/>
      <c r="G655" s="185"/>
      <c r="I655" s="184"/>
    </row>
    <row r="656" spans="5:9">
      <c r="E656" s="186"/>
      <c r="G656" s="185"/>
      <c r="I656" s="184"/>
    </row>
    <row r="657" spans="5:9">
      <c r="E657" s="186"/>
      <c r="G657" s="185"/>
      <c r="I657" s="184"/>
    </row>
    <row r="658" spans="5:9">
      <c r="E658" s="186"/>
      <c r="G658" s="185"/>
      <c r="I658" s="184"/>
    </row>
    <row r="659" spans="5:9">
      <c r="E659" s="186"/>
      <c r="G659" s="185"/>
      <c r="I659" s="184"/>
    </row>
    <row r="660" spans="5:9">
      <c r="E660" s="186"/>
      <c r="G660" s="185"/>
      <c r="I660" s="184"/>
    </row>
    <row r="661" spans="5:9">
      <c r="E661" s="186"/>
      <c r="G661" s="185"/>
      <c r="I661" s="184"/>
    </row>
    <row r="662" spans="5:9">
      <c r="E662" s="186"/>
      <c r="G662" s="185"/>
      <c r="I662" s="184"/>
    </row>
    <row r="663" spans="5:9">
      <c r="E663" s="186"/>
      <c r="G663" s="185"/>
      <c r="I663" s="184"/>
    </row>
    <row r="664" spans="5:9">
      <c r="E664" s="186"/>
      <c r="G664" s="185"/>
      <c r="I664" s="184"/>
    </row>
    <row r="665" spans="5:9">
      <c r="E665" s="186"/>
      <c r="G665" s="185"/>
      <c r="I665" s="184"/>
    </row>
    <row r="666" spans="5:9">
      <c r="E666" s="186"/>
      <c r="G666" s="185"/>
      <c r="I666" s="184"/>
    </row>
    <row r="667" spans="5:9">
      <c r="E667" s="186"/>
      <c r="G667" s="185"/>
      <c r="I667" s="184"/>
    </row>
    <row r="668" spans="5:9">
      <c r="E668" s="186"/>
      <c r="G668" s="185"/>
      <c r="I668" s="184"/>
    </row>
    <row r="669" spans="5:9">
      <c r="E669" s="186"/>
      <c r="G669" s="185"/>
      <c r="I669" s="184"/>
    </row>
    <row r="670" spans="5:9">
      <c r="E670" s="186"/>
      <c r="G670" s="185"/>
      <c r="I670" s="184"/>
    </row>
    <row r="671" spans="5:9">
      <c r="E671" s="186"/>
      <c r="G671" s="185"/>
      <c r="I671" s="184"/>
    </row>
    <row r="672" spans="5:9">
      <c r="E672" s="186"/>
      <c r="G672" s="185"/>
      <c r="I672" s="184"/>
    </row>
    <row r="673" spans="5:9">
      <c r="E673" s="186"/>
      <c r="G673" s="185"/>
      <c r="I673" s="184"/>
    </row>
    <row r="674" spans="5:9">
      <c r="E674" s="186"/>
      <c r="G674" s="185"/>
      <c r="I674" s="184"/>
    </row>
    <row r="675" spans="5:9">
      <c r="E675" s="186"/>
      <c r="G675" s="185"/>
      <c r="I675" s="184"/>
    </row>
    <row r="676" spans="5:9">
      <c r="E676" s="186"/>
      <c r="G676" s="185"/>
      <c r="I676" s="184"/>
    </row>
    <row r="677" spans="5:9">
      <c r="E677" s="186"/>
      <c r="G677" s="185"/>
      <c r="I677" s="184"/>
    </row>
    <row r="678" spans="5:9">
      <c r="E678" s="186"/>
      <c r="G678" s="185"/>
      <c r="I678" s="184"/>
    </row>
    <row r="679" spans="5:9">
      <c r="E679" s="186"/>
      <c r="G679" s="185"/>
      <c r="I679" s="184"/>
    </row>
    <row r="680" spans="5:9">
      <c r="E680" s="186"/>
      <c r="G680" s="185"/>
      <c r="I680" s="184"/>
    </row>
    <row r="681" spans="5:9">
      <c r="E681" s="186"/>
      <c r="G681" s="185"/>
      <c r="I681" s="184"/>
    </row>
    <row r="682" spans="5:9">
      <c r="E682" s="186"/>
      <c r="G682" s="185"/>
      <c r="I682" s="184"/>
    </row>
    <row r="683" spans="5:9">
      <c r="E683" s="186"/>
      <c r="G683" s="185"/>
      <c r="I683" s="184"/>
    </row>
    <row r="684" spans="5:9">
      <c r="E684" s="186"/>
      <c r="G684" s="185"/>
      <c r="I684" s="184"/>
    </row>
    <row r="685" spans="5:9">
      <c r="E685" s="186"/>
      <c r="G685" s="185"/>
      <c r="I685" s="184"/>
    </row>
    <row r="686" spans="5:9">
      <c r="E686" s="186"/>
      <c r="G686" s="185"/>
      <c r="I686" s="184"/>
    </row>
    <row r="687" spans="5:9">
      <c r="E687" s="186"/>
      <c r="G687" s="185"/>
      <c r="I687" s="184"/>
    </row>
    <row r="688" spans="5:9">
      <c r="E688" s="186"/>
      <c r="G688" s="185"/>
      <c r="I688" s="184"/>
    </row>
    <row r="689" spans="5:9">
      <c r="E689" s="186"/>
      <c r="G689" s="185"/>
      <c r="I689" s="184"/>
    </row>
    <row r="690" spans="5:9">
      <c r="E690" s="186"/>
      <c r="G690" s="185"/>
      <c r="I690" s="184"/>
    </row>
    <row r="691" spans="5:9">
      <c r="E691" s="186"/>
      <c r="G691" s="185"/>
      <c r="I691" s="184"/>
    </row>
    <row r="692" spans="5:9">
      <c r="E692" s="186"/>
      <c r="G692" s="185"/>
      <c r="I692" s="184"/>
    </row>
    <row r="693" spans="5:9">
      <c r="E693" s="186"/>
      <c r="G693" s="185"/>
      <c r="I693" s="184"/>
    </row>
    <row r="694" spans="5:9">
      <c r="E694" s="186"/>
      <c r="G694" s="185"/>
      <c r="I694" s="184"/>
    </row>
    <row r="695" spans="5:9">
      <c r="E695" s="186"/>
      <c r="G695" s="185"/>
      <c r="I695" s="184"/>
    </row>
    <row r="696" spans="5:9">
      <c r="E696" s="186"/>
      <c r="G696" s="185"/>
      <c r="I696" s="184"/>
    </row>
    <row r="697" spans="5:9">
      <c r="E697" s="186"/>
      <c r="G697" s="185"/>
      <c r="I697" s="184"/>
    </row>
    <row r="698" spans="5:9">
      <c r="E698" s="186"/>
      <c r="G698" s="185"/>
      <c r="I698" s="184"/>
    </row>
    <row r="699" spans="5:9">
      <c r="E699" s="186"/>
      <c r="G699" s="185"/>
      <c r="I699" s="184"/>
    </row>
    <row r="700" spans="5:9">
      <c r="E700" s="186"/>
      <c r="G700" s="185"/>
      <c r="I700" s="184"/>
    </row>
    <row r="701" spans="5:9">
      <c r="E701" s="186"/>
      <c r="G701" s="185"/>
      <c r="I701" s="184"/>
    </row>
    <row r="702" spans="5:9">
      <c r="E702" s="186"/>
      <c r="G702" s="185"/>
      <c r="I702" s="184"/>
    </row>
    <row r="703" spans="5:9">
      <c r="E703" s="186"/>
      <c r="G703" s="185"/>
      <c r="I703" s="184"/>
    </row>
    <row r="704" spans="5:9">
      <c r="E704" s="186"/>
      <c r="G704" s="185"/>
      <c r="I704" s="184"/>
    </row>
    <row r="705" spans="5:9">
      <c r="E705" s="186"/>
      <c r="G705" s="185"/>
      <c r="I705" s="184"/>
    </row>
    <row r="706" spans="5:9">
      <c r="E706" s="186"/>
      <c r="G706" s="185"/>
      <c r="I706" s="184"/>
    </row>
    <row r="707" spans="5:9">
      <c r="E707" s="186"/>
      <c r="G707" s="185"/>
      <c r="I707" s="184"/>
    </row>
    <row r="708" spans="5:9">
      <c r="E708" s="186"/>
      <c r="G708" s="185"/>
      <c r="I708" s="184"/>
    </row>
    <row r="709" spans="5:9">
      <c r="E709" s="186"/>
      <c r="G709" s="185"/>
      <c r="I709" s="184"/>
    </row>
    <row r="710" spans="5:9">
      <c r="E710" s="186"/>
      <c r="G710" s="185"/>
      <c r="I710" s="184"/>
    </row>
    <row r="711" spans="5:9">
      <c r="E711" s="186"/>
      <c r="G711" s="185"/>
      <c r="I711" s="184"/>
    </row>
    <row r="712" spans="5:9">
      <c r="E712" s="186"/>
      <c r="G712" s="185"/>
      <c r="I712" s="184"/>
    </row>
    <row r="713" spans="5:9">
      <c r="E713" s="186"/>
      <c r="G713" s="185"/>
      <c r="I713" s="184"/>
    </row>
    <row r="714" spans="5:9">
      <c r="E714" s="186"/>
      <c r="G714" s="185"/>
      <c r="I714" s="184"/>
    </row>
    <row r="715" spans="5:9">
      <c r="E715" s="186"/>
      <c r="G715" s="185"/>
      <c r="I715" s="184"/>
    </row>
    <row r="716" spans="5:9">
      <c r="E716" s="186"/>
      <c r="G716" s="185"/>
      <c r="I716" s="184"/>
    </row>
    <row r="717" spans="5:9">
      <c r="E717" s="186"/>
      <c r="G717" s="185"/>
      <c r="I717" s="184"/>
    </row>
    <row r="718" spans="5:9">
      <c r="E718" s="186"/>
      <c r="G718" s="185"/>
      <c r="I718" s="184"/>
    </row>
    <row r="719" spans="5:9">
      <c r="E719" s="186"/>
      <c r="G719" s="185"/>
      <c r="I719" s="184"/>
    </row>
    <row r="720" spans="5:9">
      <c r="E720" s="186"/>
      <c r="G720" s="185"/>
      <c r="I720" s="184"/>
    </row>
    <row r="721" spans="5:9">
      <c r="E721" s="186"/>
      <c r="G721" s="185"/>
      <c r="I721" s="184"/>
    </row>
    <row r="722" spans="5:9">
      <c r="E722" s="186"/>
      <c r="G722" s="185"/>
      <c r="I722" s="184"/>
    </row>
    <row r="723" spans="5:9">
      <c r="E723" s="186"/>
      <c r="G723" s="185"/>
      <c r="I723" s="184"/>
    </row>
    <row r="724" spans="5:9">
      <c r="E724" s="186"/>
      <c r="G724" s="185"/>
      <c r="I724" s="184"/>
    </row>
    <row r="725" spans="5:9">
      <c r="E725" s="186"/>
      <c r="G725" s="185"/>
      <c r="I725" s="184"/>
    </row>
    <row r="726" spans="5:9">
      <c r="E726" s="186"/>
      <c r="G726" s="185"/>
      <c r="I726" s="184"/>
    </row>
    <row r="727" spans="5:9">
      <c r="E727" s="186"/>
      <c r="G727" s="185"/>
      <c r="I727" s="184"/>
    </row>
    <row r="728" spans="5:9">
      <c r="E728" s="186"/>
      <c r="G728" s="185"/>
      <c r="I728" s="184"/>
    </row>
    <row r="729" spans="5:9">
      <c r="E729" s="186"/>
      <c r="G729" s="185"/>
      <c r="I729" s="184"/>
    </row>
    <row r="730" spans="5:9">
      <c r="E730" s="186"/>
      <c r="G730" s="185"/>
      <c r="I730" s="184"/>
    </row>
    <row r="731" spans="5:9">
      <c r="E731" s="186"/>
      <c r="G731" s="185"/>
      <c r="I731" s="184"/>
    </row>
    <row r="732" spans="5:9">
      <c r="E732" s="186"/>
      <c r="G732" s="185"/>
      <c r="I732" s="184"/>
    </row>
    <row r="733" spans="5:9">
      <c r="E733" s="186"/>
      <c r="G733" s="185"/>
      <c r="I733" s="184"/>
    </row>
    <row r="734" spans="5:9">
      <c r="E734" s="186"/>
      <c r="G734" s="185"/>
      <c r="I734" s="184"/>
    </row>
    <row r="735" spans="5:9">
      <c r="E735" s="186"/>
      <c r="G735" s="185"/>
      <c r="I735" s="184"/>
    </row>
    <row r="736" spans="5:9">
      <c r="E736" s="186"/>
      <c r="G736" s="185"/>
      <c r="I736" s="184"/>
    </row>
    <row r="737" spans="5:9">
      <c r="E737" s="186"/>
      <c r="G737" s="185"/>
      <c r="I737" s="184"/>
    </row>
    <row r="738" spans="5:9">
      <c r="E738" s="186"/>
      <c r="G738" s="185"/>
      <c r="I738" s="184"/>
    </row>
    <row r="739" spans="5:9">
      <c r="E739" s="186"/>
      <c r="G739" s="185"/>
      <c r="I739" s="184"/>
    </row>
    <row r="740" spans="5:9">
      <c r="E740" s="186"/>
      <c r="G740" s="185"/>
      <c r="I740" s="184"/>
    </row>
    <row r="741" spans="5:9">
      <c r="E741" s="186"/>
      <c r="G741" s="185"/>
      <c r="I741" s="184"/>
    </row>
    <row r="742" spans="5:9">
      <c r="E742" s="186"/>
      <c r="G742" s="185"/>
      <c r="I742" s="184"/>
    </row>
    <row r="743" spans="5:9">
      <c r="E743" s="186"/>
      <c r="G743" s="185"/>
      <c r="I743" s="184"/>
    </row>
    <row r="744" spans="5:9">
      <c r="E744" s="186"/>
      <c r="G744" s="185"/>
      <c r="I744" s="184"/>
    </row>
    <row r="745" spans="5:9">
      <c r="E745" s="186"/>
      <c r="G745" s="185"/>
      <c r="I745" s="184"/>
    </row>
    <row r="746" spans="5:9">
      <c r="E746" s="186"/>
      <c r="G746" s="185"/>
      <c r="I746" s="184"/>
    </row>
    <row r="747" spans="5:9">
      <c r="E747" s="186"/>
      <c r="G747" s="185"/>
      <c r="I747" s="184"/>
    </row>
    <row r="748" spans="5:9">
      <c r="E748" s="186"/>
      <c r="G748" s="185"/>
      <c r="I748" s="184"/>
    </row>
    <row r="749" spans="5:9">
      <c r="E749" s="186"/>
      <c r="G749" s="185"/>
      <c r="I749" s="184"/>
    </row>
    <row r="750" spans="5:9">
      <c r="E750" s="186"/>
      <c r="G750" s="185"/>
      <c r="I750" s="184"/>
    </row>
    <row r="751" spans="5:9">
      <c r="E751" s="186"/>
      <c r="G751" s="185"/>
      <c r="I751" s="184"/>
    </row>
    <row r="752" spans="5:9">
      <c r="E752" s="186"/>
      <c r="G752" s="185"/>
      <c r="I752" s="184"/>
    </row>
    <row r="753" spans="5:9">
      <c r="E753" s="186"/>
      <c r="G753" s="185"/>
      <c r="I753" s="184"/>
    </row>
    <row r="754" spans="5:9">
      <c r="E754" s="186"/>
      <c r="G754" s="185"/>
      <c r="I754" s="184"/>
    </row>
    <row r="755" spans="5:9">
      <c r="E755" s="186"/>
      <c r="G755" s="185"/>
      <c r="I755" s="184"/>
    </row>
    <row r="756" spans="5:9">
      <c r="E756" s="186"/>
      <c r="G756" s="185"/>
      <c r="I756" s="184"/>
    </row>
    <row r="757" spans="5:9">
      <c r="E757" s="186"/>
      <c r="G757" s="185"/>
      <c r="I757" s="184"/>
    </row>
    <row r="758" spans="5:9">
      <c r="E758" s="186"/>
      <c r="G758" s="185"/>
      <c r="I758" s="184"/>
    </row>
    <row r="759" spans="5:9">
      <c r="E759" s="186"/>
      <c r="G759" s="185"/>
      <c r="I759" s="184"/>
    </row>
    <row r="760" spans="5:9">
      <c r="E760" s="186"/>
      <c r="G760" s="185"/>
      <c r="I760" s="184"/>
    </row>
    <row r="761" spans="5:9">
      <c r="E761" s="186"/>
      <c r="G761" s="185"/>
      <c r="I761" s="184"/>
    </row>
    <row r="762" spans="5:9">
      <c r="E762" s="186"/>
      <c r="G762" s="185"/>
      <c r="I762" s="184"/>
    </row>
    <row r="763" spans="5:9">
      <c r="E763" s="186"/>
      <c r="G763" s="185"/>
      <c r="I763" s="184"/>
    </row>
    <row r="764" spans="5:9">
      <c r="E764" s="186"/>
      <c r="G764" s="185"/>
      <c r="I764" s="184"/>
    </row>
    <row r="765" spans="5:9">
      <c r="E765" s="186"/>
      <c r="G765" s="185"/>
      <c r="I765" s="184"/>
    </row>
    <row r="766" spans="5:9">
      <c r="E766" s="186"/>
      <c r="G766" s="185"/>
      <c r="I766" s="184"/>
    </row>
    <row r="767" spans="5:9">
      <c r="E767" s="186"/>
      <c r="G767" s="185"/>
      <c r="I767" s="184"/>
    </row>
    <row r="768" spans="5:9">
      <c r="E768" s="186"/>
      <c r="G768" s="185"/>
      <c r="I768" s="184"/>
    </row>
    <row r="769" spans="5:9">
      <c r="E769" s="186"/>
      <c r="G769" s="185"/>
      <c r="I769" s="184"/>
    </row>
    <row r="770" spans="5:9">
      <c r="E770" s="186"/>
      <c r="G770" s="185"/>
      <c r="I770" s="184"/>
    </row>
    <row r="771" spans="5:9">
      <c r="E771" s="186"/>
      <c r="G771" s="185"/>
      <c r="I771" s="184"/>
    </row>
    <row r="772" spans="5:9">
      <c r="E772" s="186"/>
      <c r="G772" s="185"/>
      <c r="I772" s="184"/>
    </row>
    <row r="773" spans="5:9">
      <c r="E773" s="186"/>
      <c r="G773" s="185"/>
      <c r="I773" s="184"/>
    </row>
    <row r="774" spans="5:9">
      <c r="E774" s="186"/>
      <c r="G774" s="185"/>
      <c r="I774" s="184"/>
    </row>
    <row r="775" spans="5:9">
      <c r="E775" s="186"/>
      <c r="G775" s="185"/>
      <c r="I775" s="184"/>
    </row>
    <row r="776" spans="5:9">
      <c r="E776" s="186"/>
      <c r="G776" s="185"/>
      <c r="I776" s="184"/>
    </row>
    <row r="777" spans="5:9">
      <c r="E777" s="186"/>
      <c r="G777" s="185"/>
      <c r="I777" s="184"/>
    </row>
    <row r="778" spans="5:9">
      <c r="E778" s="186"/>
      <c r="G778" s="185"/>
      <c r="I778" s="184"/>
    </row>
    <row r="779" spans="5:9">
      <c r="E779" s="186"/>
      <c r="G779" s="185"/>
      <c r="I779" s="184"/>
    </row>
    <row r="780" spans="5:9">
      <c r="E780" s="186"/>
      <c r="G780" s="185"/>
      <c r="I780" s="184"/>
    </row>
    <row r="781" spans="5:9">
      <c r="E781" s="186"/>
      <c r="G781" s="185"/>
      <c r="I781" s="184"/>
    </row>
    <row r="782" spans="5:9">
      <c r="E782" s="186"/>
      <c r="G782" s="185"/>
      <c r="I782" s="184"/>
    </row>
    <row r="783" spans="5:9">
      <c r="E783" s="186"/>
      <c r="G783" s="185"/>
      <c r="I783" s="184"/>
    </row>
    <row r="784" spans="5:9">
      <c r="E784" s="186"/>
      <c r="G784" s="185"/>
      <c r="I784" s="184"/>
    </row>
    <row r="785" spans="5:9">
      <c r="E785" s="186"/>
      <c r="G785" s="185"/>
      <c r="I785" s="184"/>
    </row>
    <row r="786" spans="5:9">
      <c r="E786" s="186"/>
      <c r="G786" s="185"/>
      <c r="I786" s="184"/>
    </row>
    <row r="787" spans="5:9">
      <c r="E787" s="186"/>
      <c r="G787" s="185"/>
      <c r="I787" s="184"/>
    </row>
    <row r="788" spans="5:9">
      <c r="E788" s="186"/>
      <c r="G788" s="185"/>
      <c r="I788" s="184"/>
    </row>
    <row r="789" spans="5:9">
      <c r="E789" s="186"/>
      <c r="G789" s="185"/>
      <c r="I789" s="184"/>
    </row>
    <row r="790" spans="5:9">
      <c r="E790" s="186"/>
      <c r="G790" s="185"/>
      <c r="I790" s="184"/>
    </row>
    <row r="791" spans="5:9">
      <c r="E791" s="186"/>
      <c r="G791" s="185"/>
      <c r="I791" s="184"/>
    </row>
    <row r="792" spans="5:9">
      <c r="E792" s="186"/>
      <c r="G792" s="185"/>
      <c r="I792" s="184"/>
    </row>
    <row r="793" spans="5:9">
      <c r="E793" s="186"/>
      <c r="G793" s="185"/>
      <c r="I793" s="184"/>
    </row>
    <row r="794" spans="5:9">
      <c r="E794" s="186"/>
      <c r="G794" s="185"/>
      <c r="I794" s="184"/>
    </row>
    <row r="795" spans="5:9">
      <c r="E795" s="186"/>
      <c r="G795" s="185"/>
      <c r="I795" s="184"/>
    </row>
    <row r="796" spans="5:9">
      <c r="E796" s="186"/>
      <c r="G796" s="185"/>
      <c r="I796" s="184"/>
    </row>
    <row r="797" spans="5:9">
      <c r="E797" s="186"/>
      <c r="G797" s="185"/>
      <c r="I797" s="184"/>
    </row>
    <row r="798" spans="5:9">
      <c r="E798" s="186"/>
      <c r="G798" s="185"/>
      <c r="I798" s="184"/>
    </row>
    <row r="799" spans="5:9">
      <c r="E799" s="186"/>
      <c r="G799" s="185"/>
      <c r="I799" s="184"/>
    </row>
    <row r="800" spans="5:9">
      <c r="E800" s="186"/>
      <c r="G800" s="185"/>
      <c r="I800" s="184"/>
    </row>
  </sheetData>
  <mergeCells count="4">
    <mergeCell ref="A1:J1"/>
    <mergeCell ref="A2:J2"/>
    <mergeCell ref="G3:I3"/>
    <mergeCell ref="C3:E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1" tint="4.9989318521683403E-2"/>
  </sheetPr>
  <dimension ref="A1:J101"/>
  <sheetViews>
    <sheetView workbookViewId="0">
      <selection activeCell="K11" sqref="K11"/>
    </sheetView>
  </sheetViews>
  <sheetFormatPr baseColWidth="10" defaultColWidth="9.109375" defaultRowHeight="14.4"/>
  <cols>
    <col min="1" max="1" width="9.109375" style="105"/>
    <col min="2" max="2" width="10.109375" style="105" bestFit="1" customWidth="1"/>
    <col min="3" max="10" width="9.109375" style="105"/>
  </cols>
  <sheetData>
    <row r="1" spans="1:10" ht="15.6">
      <c r="A1" s="214" t="s">
        <v>27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5.6">
      <c r="A2" s="215" t="s">
        <v>28</v>
      </c>
      <c r="B2" s="215"/>
      <c r="C2" s="215"/>
      <c r="D2" s="215"/>
      <c r="E2" s="215"/>
      <c r="F2" s="215"/>
      <c r="G2" s="215"/>
      <c r="H2" s="215"/>
      <c r="I2" s="215"/>
      <c r="J2" s="215"/>
    </row>
    <row r="3" spans="1:10">
      <c r="A3" s="99"/>
      <c r="B3" s="100">
        <f>'PPM''s Det'!B3</f>
        <v>44516</v>
      </c>
      <c r="C3" s="100"/>
      <c r="D3" s="99"/>
      <c r="E3" s="99"/>
      <c r="F3" s="99"/>
      <c r="G3" s="99"/>
      <c r="H3" s="183" t="s">
        <v>34</v>
      </c>
      <c r="I3" s="183"/>
    </row>
    <row r="4" spans="1:10">
      <c r="A4" s="99" t="s">
        <v>30</v>
      </c>
      <c r="B4" s="99"/>
      <c r="C4" s="99" t="s">
        <v>11</v>
      </c>
      <c r="D4" s="99"/>
      <c r="E4" s="99" t="s">
        <v>35</v>
      </c>
      <c r="F4" s="99"/>
      <c r="G4" s="99"/>
      <c r="H4" s="99"/>
      <c r="I4" s="104" t="s">
        <v>36</v>
      </c>
      <c r="J4" s="99"/>
    </row>
    <row r="5" spans="1:10">
      <c r="A5" s="3"/>
      <c r="B5" s="3"/>
      <c r="C5" s="3"/>
      <c r="D5" s="3"/>
      <c r="E5" s="3"/>
      <c r="F5" s="3"/>
      <c r="G5" s="3"/>
      <c r="H5" s="3"/>
      <c r="I5" s="102"/>
      <c r="J5" s="3"/>
    </row>
    <row r="6" spans="1:10">
      <c r="A6" s="3">
        <v>1</v>
      </c>
      <c r="B6" s="3"/>
      <c r="C6" s="3">
        <v>6</v>
      </c>
      <c r="D6" s="3"/>
      <c r="E6" s="3" t="s">
        <v>169</v>
      </c>
      <c r="F6" s="3"/>
      <c r="G6" s="3"/>
      <c r="H6" s="3"/>
      <c r="I6" s="102">
        <v>2</v>
      </c>
      <c r="J6" s="3"/>
    </row>
    <row r="7" spans="1:10">
      <c r="A7" s="105">
        <v>1</v>
      </c>
      <c r="C7" s="105">
        <v>6</v>
      </c>
      <c r="E7" s="105" t="s">
        <v>82</v>
      </c>
      <c r="I7" s="105">
        <v>4</v>
      </c>
    </row>
    <row r="8" spans="1:10">
      <c r="A8" s="105">
        <v>1</v>
      </c>
      <c r="C8" s="105">
        <v>7</v>
      </c>
      <c r="E8" s="105" t="s">
        <v>80</v>
      </c>
      <c r="I8" s="105">
        <v>4</v>
      </c>
    </row>
    <row r="9" spans="1:10">
      <c r="A9" s="105">
        <v>1</v>
      </c>
      <c r="C9" s="105">
        <v>7</v>
      </c>
      <c r="E9" s="105" t="s">
        <v>170</v>
      </c>
      <c r="I9" s="105">
        <v>4</v>
      </c>
    </row>
    <row r="10" spans="1:10">
      <c r="A10" s="105">
        <v>1</v>
      </c>
      <c r="C10" s="105">
        <v>7</v>
      </c>
      <c r="E10" s="105" t="s">
        <v>171</v>
      </c>
      <c r="I10" s="105">
        <v>1</v>
      </c>
    </row>
    <row r="11" spans="1:10">
      <c r="A11" s="105">
        <v>1</v>
      </c>
      <c r="C11" s="105">
        <v>7</v>
      </c>
      <c r="E11" s="105" t="s">
        <v>82</v>
      </c>
      <c r="I11" s="105">
        <v>8</v>
      </c>
    </row>
    <row r="12" spans="1:10">
      <c r="A12" s="105">
        <v>1</v>
      </c>
      <c r="C12" s="105">
        <v>7</v>
      </c>
      <c r="E12" s="105" t="s">
        <v>172</v>
      </c>
      <c r="I12" s="105">
        <v>2</v>
      </c>
    </row>
    <row r="13" spans="1:10">
      <c r="A13" s="105">
        <v>1</v>
      </c>
      <c r="C13" s="105">
        <v>7</v>
      </c>
      <c r="E13" s="105" t="s">
        <v>173</v>
      </c>
      <c r="I13" s="105">
        <v>2</v>
      </c>
    </row>
    <row r="14" spans="1:10">
      <c r="A14" s="105">
        <v>1</v>
      </c>
      <c r="C14" s="105">
        <v>16</v>
      </c>
      <c r="E14" s="105" t="s">
        <v>80</v>
      </c>
      <c r="I14" s="105">
        <v>10</v>
      </c>
    </row>
    <row r="15" spans="1:10">
      <c r="A15" s="105">
        <v>1</v>
      </c>
      <c r="C15" s="105">
        <v>16</v>
      </c>
      <c r="E15" s="105" t="s">
        <v>83</v>
      </c>
      <c r="I15" s="105">
        <v>3</v>
      </c>
    </row>
    <row r="16" spans="1:10">
      <c r="A16" s="105">
        <v>1</v>
      </c>
      <c r="C16" s="105">
        <v>16</v>
      </c>
      <c r="E16" s="105" t="s">
        <v>158</v>
      </c>
      <c r="I16" s="105">
        <v>8</v>
      </c>
    </row>
    <row r="17" spans="1:9">
      <c r="A17" s="105">
        <v>1</v>
      </c>
      <c r="C17" s="105">
        <v>16</v>
      </c>
      <c r="E17" s="105" t="s">
        <v>79</v>
      </c>
      <c r="I17" s="105">
        <v>7</v>
      </c>
    </row>
    <row r="18" spans="1:9">
      <c r="A18" s="105">
        <v>1</v>
      </c>
      <c r="C18" s="105">
        <v>16</v>
      </c>
      <c r="E18" s="105" t="s">
        <v>174</v>
      </c>
      <c r="I18" s="105">
        <v>4</v>
      </c>
    </row>
    <row r="19" spans="1:9">
      <c r="A19" s="105">
        <v>1</v>
      </c>
      <c r="C19" s="105">
        <v>16</v>
      </c>
      <c r="E19" s="105" t="s">
        <v>84</v>
      </c>
      <c r="I19" s="105">
        <v>4</v>
      </c>
    </row>
    <row r="20" spans="1:9">
      <c r="A20" s="105">
        <v>1</v>
      </c>
      <c r="C20" s="105">
        <v>23</v>
      </c>
      <c r="E20" s="105" t="s">
        <v>175</v>
      </c>
      <c r="I20" s="105">
        <v>1</v>
      </c>
    </row>
    <row r="21" spans="1:9">
      <c r="A21" s="105">
        <v>1</v>
      </c>
      <c r="C21" s="105">
        <v>23</v>
      </c>
      <c r="E21" s="105" t="s">
        <v>84</v>
      </c>
      <c r="I21" s="105">
        <v>4</v>
      </c>
    </row>
    <row r="22" spans="1:9">
      <c r="A22" s="105">
        <v>1</v>
      </c>
      <c r="C22" s="105">
        <v>47</v>
      </c>
      <c r="E22" s="105" t="s">
        <v>176</v>
      </c>
      <c r="I22" s="105">
        <v>4</v>
      </c>
    </row>
    <row r="23" spans="1:9">
      <c r="A23" s="105">
        <v>1</v>
      </c>
      <c r="C23" s="105">
        <v>54</v>
      </c>
      <c r="E23" s="105" t="s">
        <v>81</v>
      </c>
      <c r="I23" s="105">
        <v>12</v>
      </c>
    </row>
    <row r="24" spans="1:9">
      <c r="A24" s="105">
        <v>1</v>
      </c>
      <c r="C24" s="105">
        <v>54</v>
      </c>
      <c r="E24" s="105" t="s">
        <v>83</v>
      </c>
      <c r="I24" s="105">
        <v>8</v>
      </c>
    </row>
    <row r="25" spans="1:9">
      <c r="A25" s="105">
        <v>1</v>
      </c>
      <c r="C25" s="105">
        <v>67</v>
      </c>
      <c r="E25" s="105" t="s">
        <v>175</v>
      </c>
      <c r="I25" s="105">
        <v>10</v>
      </c>
    </row>
    <row r="26" spans="1:9">
      <c r="A26" s="105">
        <v>1</v>
      </c>
      <c r="C26" s="105">
        <v>67</v>
      </c>
      <c r="E26" s="105" t="s">
        <v>177</v>
      </c>
      <c r="I26" s="105">
        <v>4</v>
      </c>
    </row>
    <row r="27" spans="1:9">
      <c r="A27" s="105">
        <v>1</v>
      </c>
      <c r="C27" s="105">
        <v>67</v>
      </c>
      <c r="E27" s="105" t="s">
        <v>79</v>
      </c>
      <c r="I27" s="105">
        <v>8</v>
      </c>
    </row>
    <row r="28" spans="1:9">
      <c r="A28" s="105">
        <v>1</v>
      </c>
      <c r="C28" s="105">
        <v>91</v>
      </c>
      <c r="E28" s="105" t="s">
        <v>178</v>
      </c>
      <c r="I28" s="105">
        <v>3</v>
      </c>
    </row>
    <row r="29" spans="1:9">
      <c r="A29" s="105">
        <v>2</v>
      </c>
      <c r="C29" s="105">
        <v>1</v>
      </c>
      <c r="E29" s="105" t="s">
        <v>86</v>
      </c>
      <c r="I29" s="105">
        <v>8</v>
      </c>
    </row>
    <row r="30" spans="1:9">
      <c r="A30" s="105">
        <v>2</v>
      </c>
      <c r="C30" s="105">
        <v>1</v>
      </c>
      <c r="E30" s="105" t="s">
        <v>80</v>
      </c>
      <c r="I30" s="105">
        <v>4</v>
      </c>
    </row>
    <row r="31" spans="1:9">
      <c r="A31" s="105">
        <v>2</v>
      </c>
      <c r="C31" s="105">
        <v>1</v>
      </c>
      <c r="E31" s="105" t="s">
        <v>177</v>
      </c>
      <c r="I31" s="105">
        <v>3</v>
      </c>
    </row>
    <row r="32" spans="1:9">
      <c r="A32" s="105">
        <v>2</v>
      </c>
      <c r="C32" s="105">
        <v>6</v>
      </c>
      <c r="E32" s="105" t="s">
        <v>79</v>
      </c>
      <c r="I32" s="105">
        <v>8</v>
      </c>
    </row>
    <row r="33" spans="1:9">
      <c r="A33" s="105">
        <v>2</v>
      </c>
      <c r="C33" s="105">
        <v>6</v>
      </c>
      <c r="E33" s="105" t="s">
        <v>82</v>
      </c>
      <c r="I33" s="105">
        <v>12</v>
      </c>
    </row>
    <row r="34" spans="1:9">
      <c r="A34" s="105">
        <v>2</v>
      </c>
      <c r="C34" s="105">
        <v>8</v>
      </c>
      <c r="E34" s="105" t="s">
        <v>86</v>
      </c>
      <c r="I34" s="105">
        <v>2</v>
      </c>
    </row>
    <row r="35" spans="1:9">
      <c r="A35" s="105">
        <v>2</v>
      </c>
      <c r="C35" s="105">
        <v>8</v>
      </c>
      <c r="E35" s="105" t="s">
        <v>80</v>
      </c>
      <c r="I35" s="105">
        <v>1</v>
      </c>
    </row>
    <row r="36" spans="1:9">
      <c r="A36" s="105">
        <v>2</v>
      </c>
      <c r="C36" s="105">
        <v>8</v>
      </c>
      <c r="E36" s="105" t="s">
        <v>83</v>
      </c>
      <c r="I36" s="105">
        <v>1</v>
      </c>
    </row>
    <row r="37" spans="1:9">
      <c r="A37" s="105">
        <v>2</v>
      </c>
      <c r="C37" s="105">
        <v>8</v>
      </c>
      <c r="E37" s="105" t="s">
        <v>171</v>
      </c>
      <c r="I37" s="105">
        <v>1</v>
      </c>
    </row>
    <row r="38" spans="1:9">
      <c r="A38" s="105">
        <v>2</v>
      </c>
      <c r="C38" s="105">
        <v>8</v>
      </c>
      <c r="E38" s="105" t="s">
        <v>85</v>
      </c>
      <c r="I38" s="105">
        <v>2</v>
      </c>
    </row>
    <row r="39" spans="1:9">
      <c r="A39" s="105">
        <v>2</v>
      </c>
      <c r="C39" s="105">
        <v>8</v>
      </c>
      <c r="E39" s="105" t="s">
        <v>158</v>
      </c>
      <c r="I39" s="105">
        <v>1</v>
      </c>
    </row>
    <row r="40" spans="1:9">
      <c r="A40" s="105">
        <v>2</v>
      </c>
      <c r="C40" s="105">
        <v>8</v>
      </c>
      <c r="E40" s="105" t="s">
        <v>179</v>
      </c>
      <c r="I40" s="105">
        <v>1</v>
      </c>
    </row>
    <row r="41" spans="1:9">
      <c r="A41" s="105">
        <v>2</v>
      </c>
      <c r="C41" s="105">
        <v>10</v>
      </c>
      <c r="E41" s="105" t="s">
        <v>79</v>
      </c>
      <c r="I41" s="105">
        <v>4</v>
      </c>
    </row>
    <row r="42" spans="1:9">
      <c r="A42" s="105">
        <v>2</v>
      </c>
      <c r="C42" s="105">
        <v>12</v>
      </c>
      <c r="E42" s="105" t="s">
        <v>80</v>
      </c>
      <c r="I42" s="105">
        <v>4</v>
      </c>
    </row>
    <row r="43" spans="1:9">
      <c r="A43" s="105">
        <v>2</v>
      </c>
      <c r="C43" s="105">
        <v>12</v>
      </c>
      <c r="E43" s="105" t="s">
        <v>83</v>
      </c>
      <c r="I43" s="105">
        <v>4</v>
      </c>
    </row>
    <row r="44" spans="1:9">
      <c r="A44" s="105">
        <v>2</v>
      </c>
      <c r="C44" s="105">
        <v>14</v>
      </c>
      <c r="E44" s="105" t="s">
        <v>175</v>
      </c>
      <c r="I44" s="105">
        <v>2</v>
      </c>
    </row>
    <row r="45" spans="1:9">
      <c r="A45" s="105">
        <v>2</v>
      </c>
      <c r="C45" s="105">
        <v>14</v>
      </c>
      <c r="E45" s="105" t="s">
        <v>180</v>
      </c>
      <c r="I45" s="105">
        <v>3</v>
      </c>
    </row>
    <row r="46" spans="1:9">
      <c r="A46" s="105">
        <v>2</v>
      </c>
      <c r="C46" s="105">
        <v>16</v>
      </c>
      <c r="E46" s="105" t="s">
        <v>181</v>
      </c>
      <c r="I46" s="105">
        <v>1</v>
      </c>
    </row>
    <row r="47" spans="1:9">
      <c r="A47" s="105">
        <v>2</v>
      </c>
      <c r="C47" s="105">
        <v>16</v>
      </c>
      <c r="E47" s="105" t="s">
        <v>182</v>
      </c>
      <c r="I47" s="105">
        <v>1</v>
      </c>
    </row>
    <row r="48" spans="1:9">
      <c r="A48" s="105">
        <v>2</v>
      </c>
      <c r="C48" s="105">
        <v>16</v>
      </c>
      <c r="E48" s="105" t="s">
        <v>174</v>
      </c>
      <c r="I48" s="105">
        <v>2</v>
      </c>
    </row>
    <row r="49" spans="1:9">
      <c r="A49" s="105">
        <v>2</v>
      </c>
      <c r="C49" s="105">
        <v>18</v>
      </c>
      <c r="E49" s="105" t="s">
        <v>80</v>
      </c>
      <c r="I49" s="105">
        <v>4</v>
      </c>
    </row>
    <row r="50" spans="1:9">
      <c r="A50" s="105">
        <v>2</v>
      </c>
      <c r="C50" s="105">
        <v>18</v>
      </c>
      <c r="E50" s="105" t="s">
        <v>182</v>
      </c>
      <c r="I50" s="105">
        <v>4</v>
      </c>
    </row>
    <row r="51" spans="1:9">
      <c r="A51" s="105">
        <v>2</v>
      </c>
      <c r="C51" s="105">
        <v>18</v>
      </c>
      <c r="E51" s="105" t="s">
        <v>85</v>
      </c>
      <c r="I51" s="105">
        <v>4</v>
      </c>
    </row>
    <row r="52" spans="1:9">
      <c r="A52" s="105">
        <v>2</v>
      </c>
      <c r="C52" s="105">
        <v>18</v>
      </c>
      <c r="E52" s="105" t="s">
        <v>180</v>
      </c>
      <c r="I52" s="105">
        <v>4</v>
      </c>
    </row>
    <row r="53" spans="1:9">
      <c r="A53" s="105">
        <v>2</v>
      </c>
      <c r="C53" s="105">
        <v>18</v>
      </c>
      <c r="E53" s="105" t="s">
        <v>183</v>
      </c>
      <c r="I53" s="105">
        <v>4</v>
      </c>
    </row>
    <row r="54" spans="1:9">
      <c r="A54" s="105">
        <v>2</v>
      </c>
      <c r="C54" s="105">
        <v>23</v>
      </c>
      <c r="E54" s="105" t="s">
        <v>80</v>
      </c>
      <c r="I54" s="105">
        <v>3</v>
      </c>
    </row>
    <row r="55" spans="1:9">
      <c r="A55" s="105">
        <v>2</v>
      </c>
      <c r="C55" s="105">
        <v>23</v>
      </c>
      <c r="E55" s="105" t="s">
        <v>85</v>
      </c>
      <c r="I55" s="105">
        <v>1</v>
      </c>
    </row>
    <row r="56" spans="1:9">
      <c r="A56" s="105">
        <v>2</v>
      </c>
      <c r="C56" s="105">
        <v>23</v>
      </c>
      <c r="E56" s="105" t="s">
        <v>82</v>
      </c>
      <c r="I56" s="105">
        <v>2</v>
      </c>
    </row>
    <row r="57" spans="1:9">
      <c r="A57" s="105">
        <v>2</v>
      </c>
      <c r="C57" s="105">
        <v>23</v>
      </c>
      <c r="E57" s="105" t="s">
        <v>84</v>
      </c>
      <c r="I57" s="105">
        <v>26</v>
      </c>
    </row>
    <row r="58" spans="1:9">
      <c r="A58" s="105">
        <v>2</v>
      </c>
      <c r="C58" s="105">
        <v>23</v>
      </c>
      <c r="E58" s="105" t="s">
        <v>173</v>
      </c>
      <c r="I58" s="105">
        <v>1</v>
      </c>
    </row>
    <row r="59" spans="1:9">
      <c r="A59" s="105">
        <v>2</v>
      </c>
      <c r="C59" s="105">
        <v>34</v>
      </c>
      <c r="E59" s="105" t="s">
        <v>175</v>
      </c>
      <c r="I59" s="105">
        <v>2</v>
      </c>
    </row>
    <row r="60" spans="1:9">
      <c r="A60" s="105">
        <v>2</v>
      </c>
      <c r="C60" s="105">
        <v>34</v>
      </c>
      <c r="E60" s="105" t="s">
        <v>80</v>
      </c>
      <c r="I60" s="105">
        <v>3</v>
      </c>
    </row>
    <row r="61" spans="1:9">
      <c r="A61" s="105">
        <v>2</v>
      </c>
      <c r="C61" s="105">
        <v>34</v>
      </c>
      <c r="E61" s="105" t="s">
        <v>170</v>
      </c>
      <c r="I61" s="105">
        <v>2</v>
      </c>
    </row>
    <row r="62" spans="1:9">
      <c r="A62" s="105">
        <v>2</v>
      </c>
      <c r="C62" s="105">
        <v>34</v>
      </c>
      <c r="E62" s="105" t="s">
        <v>84</v>
      </c>
      <c r="I62" s="105">
        <v>5</v>
      </c>
    </row>
    <row r="63" spans="1:9">
      <c r="A63" s="105">
        <v>2</v>
      </c>
      <c r="C63" s="105">
        <v>34</v>
      </c>
      <c r="E63" s="105" t="s">
        <v>175</v>
      </c>
      <c r="I63" s="105">
        <v>2</v>
      </c>
    </row>
    <row r="64" spans="1:9">
      <c r="A64" s="105">
        <v>2</v>
      </c>
      <c r="C64" s="105">
        <v>34</v>
      </c>
      <c r="E64" s="105" t="s">
        <v>80</v>
      </c>
      <c r="I64" s="105">
        <v>3</v>
      </c>
    </row>
    <row r="65" spans="1:9">
      <c r="A65" s="105">
        <v>2</v>
      </c>
      <c r="C65" s="105">
        <v>34</v>
      </c>
      <c r="E65" s="105" t="s">
        <v>170</v>
      </c>
      <c r="I65" s="105">
        <v>2</v>
      </c>
    </row>
    <row r="66" spans="1:9">
      <c r="A66" s="105">
        <v>2</v>
      </c>
      <c r="C66" s="105">
        <v>34</v>
      </c>
      <c r="E66" s="105" t="s">
        <v>84</v>
      </c>
      <c r="I66" s="105">
        <v>5</v>
      </c>
    </row>
    <row r="67" spans="1:9">
      <c r="A67" s="105">
        <v>2</v>
      </c>
      <c r="C67" s="105">
        <v>41</v>
      </c>
      <c r="E67" s="105" t="s">
        <v>81</v>
      </c>
      <c r="I67" s="105">
        <v>4</v>
      </c>
    </row>
    <row r="68" spans="1:9">
      <c r="A68" s="105">
        <v>2</v>
      </c>
      <c r="C68" s="105">
        <v>41</v>
      </c>
      <c r="E68" s="105" t="s">
        <v>184</v>
      </c>
      <c r="I68" s="105">
        <v>4</v>
      </c>
    </row>
    <row r="69" spans="1:9">
      <c r="A69" s="105">
        <v>2</v>
      </c>
      <c r="C69" s="105">
        <v>41</v>
      </c>
      <c r="E69" s="105" t="s">
        <v>182</v>
      </c>
      <c r="I69" s="105">
        <v>1</v>
      </c>
    </row>
    <row r="70" spans="1:9">
      <c r="A70" s="105">
        <v>2</v>
      </c>
      <c r="C70" s="105">
        <v>41</v>
      </c>
      <c r="E70" s="105" t="s">
        <v>158</v>
      </c>
      <c r="I70" s="105">
        <v>5</v>
      </c>
    </row>
    <row r="71" spans="1:9">
      <c r="A71" s="105">
        <v>2</v>
      </c>
      <c r="C71" s="105">
        <v>41</v>
      </c>
      <c r="E71" s="105" t="s">
        <v>79</v>
      </c>
      <c r="I71" s="105">
        <v>4</v>
      </c>
    </row>
    <row r="72" spans="1:9">
      <c r="A72" s="105">
        <v>2</v>
      </c>
      <c r="C72" s="105">
        <v>41</v>
      </c>
      <c r="E72" s="105" t="s">
        <v>174</v>
      </c>
      <c r="I72" s="105">
        <v>1</v>
      </c>
    </row>
    <row r="73" spans="1:9">
      <c r="A73" s="105">
        <v>2</v>
      </c>
      <c r="C73" s="105">
        <v>41</v>
      </c>
      <c r="E73" s="105" t="s">
        <v>185</v>
      </c>
      <c r="I73" s="105">
        <v>1</v>
      </c>
    </row>
    <row r="74" spans="1:9">
      <c r="A74" s="105">
        <v>2</v>
      </c>
      <c r="C74" s="105">
        <v>46</v>
      </c>
      <c r="E74" s="105" t="s">
        <v>85</v>
      </c>
      <c r="I74" s="105">
        <v>2</v>
      </c>
    </row>
    <row r="75" spans="1:9">
      <c r="A75" s="105">
        <v>2</v>
      </c>
      <c r="C75" s="105">
        <v>46</v>
      </c>
      <c r="E75" s="105" t="s">
        <v>186</v>
      </c>
      <c r="I75" s="105">
        <v>1</v>
      </c>
    </row>
    <row r="76" spans="1:9">
      <c r="A76" s="105">
        <v>2</v>
      </c>
      <c r="C76" s="105">
        <v>46</v>
      </c>
      <c r="E76" s="105" t="s">
        <v>173</v>
      </c>
      <c r="I76" s="105">
        <v>1</v>
      </c>
    </row>
    <row r="77" spans="1:9">
      <c r="A77" s="105">
        <v>2</v>
      </c>
      <c r="C77" s="105">
        <v>47</v>
      </c>
      <c r="E77" s="105" t="s">
        <v>187</v>
      </c>
      <c r="I77" s="105">
        <v>4</v>
      </c>
    </row>
    <row r="78" spans="1:9">
      <c r="A78" s="105">
        <v>2</v>
      </c>
      <c r="C78" s="105">
        <v>47</v>
      </c>
      <c r="E78" s="105" t="s">
        <v>84</v>
      </c>
      <c r="I78" s="105">
        <v>4</v>
      </c>
    </row>
    <row r="79" spans="1:9">
      <c r="A79" s="105">
        <v>2</v>
      </c>
      <c r="C79" s="105">
        <v>61</v>
      </c>
      <c r="E79" s="105" t="s">
        <v>181</v>
      </c>
      <c r="I79" s="105">
        <v>4</v>
      </c>
    </row>
    <row r="80" spans="1:9">
      <c r="A80" s="105">
        <v>2</v>
      </c>
      <c r="C80" s="105">
        <v>61</v>
      </c>
      <c r="E80" s="105" t="s">
        <v>86</v>
      </c>
      <c r="I80" s="105">
        <v>4</v>
      </c>
    </row>
    <row r="81" spans="1:9">
      <c r="A81" s="105">
        <v>2</v>
      </c>
      <c r="C81" s="105">
        <v>61</v>
      </c>
      <c r="E81" s="105" t="s">
        <v>80</v>
      </c>
      <c r="I81" s="105">
        <v>4</v>
      </c>
    </row>
    <row r="82" spans="1:9">
      <c r="A82" s="105">
        <v>2</v>
      </c>
      <c r="C82" s="105">
        <v>61</v>
      </c>
      <c r="E82" s="105" t="s">
        <v>170</v>
      </c>
      <c r="I82" s="105">
        <v>4</v>
      </c>
    </row>
    <row r="83" spans="1:9">
      <c r="A83" s="105">
        <v>2</v>
      </c>
      <c r="C83" s="105">
        <v>61</v>
      </c>
      <c r="E83" s="105" t="s">
        <v>83</v>
      </c>
      <c r="I83" s="105">
        <v>4</v>
      </c>
    </row>
    <row r="84" spans="1:9">
      <c r="A84" s="105">
        <v>2</v>
      </c>
      <c r="C84" s="105">
        <v>62</v>
      </c>
      <c r="E84" s="105" t="s">
        <v>181</v>
      </c>
      <c r="I84" s="105">
        <v>4</v>
      </c>
    </row>
    <row r="85" spans="1:9">
      <c r="A85" s="105">
        <v>2</v>
      </c>
      <c r="C85" s="105">
        <v>62</v>
      </c>
      <c r="E85" s="105" t="s">
        <v>86</v>
      </c>
      <c r="I85" s="105">
        <v>4</v>
      </c>
    </row>
    <row r="86" spans="1:9">
      <c r="A86" s="105">
        <v>2</v>
      </c>
      <c r="C86" s="105">
        <v>62</v>
      </c>
      <c r="E86" s="105" t="s">
        <v>80</v>
      </c>
      <c r="I86" s="105">
        <v>4</v>
      </c>
    </row>
    <row r="87" spans="1:9">
      <c r="A87" s="105">
        <v>2</v>
      </c>
      <c r="C87" s="105">
        <v>62</v>
      </c>
      <c r="E87" s="105" t="s">
        <v>85</v>
      </c>
      <c r="I87" s="105">
        <v>4</v>
      </c>
    </row>
    <row r="88" spans="1:9">
      <c r="A88" s="105">
        <v>2</v>
      </c>
      <c r="C88" s="105">
        <v>62</v>
      </c>
      <c r="E88" s="105" t="s">
        <v>174</v>
      </c>
      <c r="I88" s="105">
        <v>4</v>
      </c>
    </row>
    <row r="89" spans="1:9">
      <c r="A89" s="105">
        <v>2</v>
      </c>
      <c r="C89" s="105">
        <v>63</v>
      </c>
      <c r="E89" s="105" t="s">
        <v>175</v>
      </c>
      <c r="I89" s="105">
        <v>4</v>
      </c>
    </row>
    <row r="90" spans="1:9">
      <c r="A90" s="105">
        <v>2</v>
      </c>
      <c r="C90" s="105">
        <v>63</v>
      </c>
      <c r="E90" s="105" t="s">
        <v>80</v>
      </c>
      <c r="I90" s="105">
        <v>4</v>
      </c>
    </row>
    <row r="91" spans="1:9">
      <c r="A91" s="105">
        <v>2</v>
      </c>
      <c r="C91" s="105">
        <v>63</v>
      </c>
      <c r="E91" s="105" t="s">
        <v>85</v>
      </c>
      <c r="I91" s="105">
        <v>4</v>
      </c>
    </row>
    <row r="92" spans="1:9">
      <c r="A92" s="105">
        <v>2</v>
      </c>
      <c r="C92" s="105">
        <v>66</v>
      </c>
      <c r="E92" s="105" t="s">
        <v>80</v>
      </c>
      <c r="I92" s="105">
        <v>4</v>
      </c>
    </row>
    <row r="93" spans="1:9">
      <c r="A93" s="105">
        <v>2</v>
      </c>
      <c r="C93" s="105">
        <v>67</v>
      </c>
      <c r="E93" s="105" t="s">
        <v>177</v>
      </c>
      <c r="I93" s="105">
        <v>8</v>
      </c>
    </row>
    <row r="94" spans="1:9">
      <c r="A94" s="105">
        <v>2</v>
      </c>
      <c r="C94" s="105">
        <v>67</v>
      </c>
      <c r="E94" s="105" t="s">
        <v>174</v>
      </c>
      <c r="I94" s="105">
        <v>5</v>
      </c>
    </row>
    <row r="95" spans="1:9">
      <c r="A95" s="105">
        <v>2</v>
      </c>
      <c r="C95" s="105">
        <v>69</v>
      </c>
      <c r="E95" s="105" t="s">
        <v>80</v>
      </c>
      <c r="I95" s="105">
        <v>8</v>
      </c>
    </row>
    <row r="96" spans="1:9">
      <c r="A96" s="105">
        <v>2</v>
      </c>
      <c r="C96" s="105">
        <v>69</v>
      </c>
      <c r="E96" s="105" t="s">
        <v>83</v>
      </c>
      <c r="I96" s="105">
        <v>2</v>
      </c>
    </row>
    <row r="97" spans="1:9">
      <c r="A97" s="105">
        <v>2</v>
      </c>
      <c r="C97" s="105">
        <v>69</v>
      </c>
      <c r="E97" s="105" t="s">
        <v>85</v>
      </c>
      <c r="I97" s="105">
        <v>8</v>
      </c>
    </row>
    <row r="98" spans="1:9">
      <c r="A98" s="105">
        <v>2</v>
      </c>
      <c r="C98" s="105">
        <v>69</v>
      </c>
      <c r="E98" s="105" t="s">
        <v>188</v>
      </c>
      <c r="I98" s="105">
        <v>8</v>
      </c>
    </row>
    <row r="99" spans="1:9">
      <c r="A99" s="105">
        <v>2</v>
      </c>
      <c r="C99" s="105">
        <v>69</v>
      </c>
      <c r="E99" s="105" t="s">
        <v>172</v>
      </c>
      <c r="I99" s="105">
        <v>4</v>
      </c>
    </row>
    <row r="100" spans="1:9">
      <c r="A100" s="105">
        <v>2</v>
      </c>
      <c r="C100" s="105">
        <v>69</v>
      </c>
      <c r="E100" s="105" t="s">
        <v>179</v>
      </c>
      <c r="I100" s="105">
        <v>2</v>
      </c>
    </row>
    <row r="101" spans="1:9">
      <c r="A101" s="105">
        <v>2</v>
      </c>
      <c r="C101" s="105">
        <v>69</v>
      </c>
      <c r="E101" s="105" t="s">
        <v>84</v>
      </c>
      <c r="I101" s="105">
        <v>4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D038-A69D-498A-9A9F-E9BB29C47423}">
  <sheetPr codeName="Sheet9">
    <tabColor rgb="FF7030A0"/>
  </sheetPr>
  <dimension ref="A1:AE190"/>
  <sheetViews>
    <sheetView zoomScale="70" zoomScaleNormal="70" workbookViewId="0">
      <selection activeCell="AA114" sqref="AA114"/>
    </sheetView>
  </sheetViews>
  <sheetFormatPr baseColWidth="10" defaultColWidth="9.109375" defaultRowHeight="14.4"/>
  <cols>
    <col min="1" max="1" width="17.109375" style="3" customWidth="1"/>
    <col min="2" max="2" width="17.33203125" style="168" customWidth="1"/>
    <col min="3" max="3" width="17.33203125" style="3" customWidth="1"/>
    <col min="4" max="5" width="17" style="3" customWidth="1"/>
    <col min="6" max="6" width="9.109375" style="163"/>
    <col min="7" max="7" width="18.33203125" style="163" bestFit="1" customWidth="1"/>
    <col min="8" max="8" width="13.5546875" style="163" bestFit="1" customWidth="1"/>
    <col min="9" max="9" width="13" style="163" bestFit="1" customWidth="1"/>
    <col min="10" max="10" width="9.109375" style="163" customWidth="1"/>
    <col min="11" max="11" width="0" style="163" hidden="1" customWidth="1"/>
    <col min="12" max="26" width="9.109375" style="163"/>
    <col min="27" max="27" width="82.5546875" style="163" customWidth="1"/>
    <col min="28" max="16384" width="9.109375" style="163"/>
  </cols>
  <sheetData>
    <row r="1" spans="1:31" s="155" customFormat="1" ht="28.8">
      <c r="A1" s="180" t="s">
        <v>25</v>
      </c>
      <c r="B1" s="181"/>
      <c r="C1" s="180"/>
      <c r="D1" s="180"/>
      <c r="E1" s="180"/>
    </row>
    <row r="2" spans="1:31" ht="18.600000000000001" thickBot="1">
      <c r="B2" s="182"/>
    </row>
    <row r="3" spans="1:31" ht="15" thickBot="1">
      <c r="A3" s="71" t="s">
        <v>37</v>
      </c>
      <c r="B3" s="67" t="s">
        <v>9</v>
      </c>
      <c r="C3" s="67" t="s">
        <v>37</v>
      </c>
      <c r="D3" s="67" t="s">
        <v>10</v>
      </c>
      <c r="E3" s="67" t="s">
        <v>8</v>
      </c>
      <c r="G3" s="217" t="s">
        <v>9</v>
      </c>
      <c r="H3" s="218"/>
      <c r="I3" s="218"/>
      <c r="J3" s="219"/>
      <c r="AB3" s="217" t="s">
        <v>9</v>
      </c>
      <c r="AC3" s="218"/>
      <c r="AD3" s="218"/>
      <c r="AE3" s="219"/>
    </row>
    <row r="4" spans="1:31" ht="18.600000000000001" thickBot="1">
      <c r="A4" s="170"/>
      <c r="B4" s="169"/>
      <c r="C4" s="170"/>
      <c r="D4" s="169"/>
      <c r="E4" s="40">
        <f t="shared" ref="E4:E35" si="0">IF(A4=C4,B4+D4,D4)</f>
        <v>0</v>
      </c>
      <c r="G4" s="136" t="s">
        <v>37</v>
      </c>
      <c r="H4" s="179" t="s">
        <v>47</v>
      </c>
      <c r="I4" s="178" t="s">
        <v>38</v>
      </c>
      <c r="J4" s="177" t="s">
        <v>39</v>
      </c>
      <c r="AB4" s="136" t="s">
        <v>37</v>
      </c>
      <c r="AC4" s="179" t="s">
        <v>47</v>
      </c>
      <c r="AD4" s="178" t="s">
        <v>38</v>
      </c>
      <c r="AE4" s="177" t="s">
        <v>39</v>
      </c>
    </row>
    <row r="5" spans="1:31" ht="18">
      <c r="A5" s="170"/>
      <c r="B5" s="169"/>
      <c r="C5" s="170"/>
      <c r="D5" s="169"/>
      <c r="E5" s="40">
        <f t="shared" si="0"/>
        <v>0</v>
      </c>
      <c r="G5" s="157"/>
      <c r="H5" s="46"/>
      <c r="I5" s="176"/>
      <c r="J5" s="175"/>
      <c r="K5" s="163" t="str">
        <f>CONCATENATE(H5,"/ ",I5)</f>
        <v xml:space="preserve">/ </v>
      </c>
      <c r="AB5" s="157"/>
      <c r="AC5" s="46"/>
      <c r="AD5" s="176"/>
      <c r="AE5" s="175"/>
    </row>
    <row r="6" spans="1:31" ht="18">
      <c r="A6" s="170"/>
      <c r="B6" s="169"/>
      <c r="C6" s="170"/>
      <c r="D6" s="169"/>
      <c r="E6" s="40">
        <f t="shared" si="0"/>
        <v>0</v>
      </c>
      <c r="G6" s="18"/>
      <c r="H6" s="19"/>
      <c r="I6" s="174"/>
      <c r="J6" s="173"/>
      <c r="K6" s="163" t="str">
        <f>CONCATENATE(H6,"/ ",I6)</f>
        <v xml:space="preserve">/ </v>
      </c>
      <c r="AB6" s="18"/>
      <c r="AC6" s="19"/>
      <c r="AD6" s="174"/>
      <c r="AE6" s="173"/>
    </row>
    <row r="7" spans="1:31" ht="18">
      <c r="A7" s="170"/>
      <c r="B7" s="169"/>
      <c r="C7" s="170"/>
      <c r="D7" s="169"/>
      <c r="E7" s="40">
        <f t="shared" si="0"/>
        <v>0</v>
      </c>
      <c r="G7" s="18"/>
      <c r="H7" s="19"/>
      <c r="I7" s="174"/>
      <c r="J7" s="173"/>
      <c r="K7" s="163" t="str">
        <f>CONCATENATE(H7,"/ ",I7)</f>
        <v xml:space="preserve">/ </v>
      </c>
      <c r="AB7" s="18"/>
      <c r="AC7" s="19"/>
      <c r="AD7" s="174"/>
      <c r="AE7" s="173"/>
    </row>
    <row r="8" spans="1:31" ht="18">
      <c r="A8" s="170"/>
      <c r="B8" s="169"/>
      <c r="C8" s="170"/>
      <c r="D8" s="169"/>
      <c r="E8" s="40">
        <f t="shared" si="0"/>
        <v>0</v>
      </c>
      <c r="G8" s="18"/>
      <c r="H8" s="19"/>
      <c r="I8" s="174"/>
      <c r="J8" s="173"/>
      <c r="K8" s="163" t="str">
        <f>CONCATENATE(H8,"/ ",I8)</f>
        <v xml:space="preserve">/ </v>
      </c>
      <c r="AB8" s="18"/>
      <c r="AC8" s="19"/>
      <c r="AD8" s="174"/>
      <c r="AE8" s="173"/>
    </row>
    <row r="9" spans="1:31" ht="18.600000000000001" thickBot="1">
      <c r="A9" s="170"/>
      <c r="B9" s="169"/>
      <c r="C9" s="170"/>
      <c r="D9" s="169"/>
      <c r="E9" s="40">
        <f t="shared" si="0"/>
        <v>0</v>
      </c>
      <c r="G9" s="17"/>
      <c r="H9" s="44"/>
      <c r="I9" s="172"/>
      <c r="J9" s="171"/>
      <c r="K9" s="163" t="str">
        <f>CONCATENATE(H9,"/ ",I9)</f>
        <v xml:space="preserve">/ </v>
      </c>
      <c r="AB9" s="17"/>
      <c r="AC9" s="44"/>
      <c r="AD9" s="172"/>
      <c r="AE9" s="171"/>
    </row>
    <row r="10" spans="1:31" ht="18.600000000000001" thickBot="1">
      <c r="A10" s="170"/>
      <c r="B10" s="169"/>
      <c r="C10" s="170"/>
      <c r="D10" s="169"/>
      <c r="E10" s="40">
        <f t="shared" si="0"/>
        <v>0</v>
      </c>
      <c r="I10" s="163" t="s">
        <v>8</v>
      </c>
      <c r="J10" s="156">
        <f>SUM(B4:B70)</f>
        <v>0</v>
      </c>
      <c r="AD10" s="163" t="s">
        <v>8</v>
      </c>
      <c r="AE10" s="156">
        <f>SUM(W4:W70)</f>
        <v>0</v>
      </c>
    </row>
    <row r="11" spans="1:31" ht="18.600000000000001" thickBot="1">
      <c r="A11" s="170"/>
      <c r="B11" s="169"/>
      <c r="C11" s="170"/>
      <c r="D11" s="169"/>
      <c r="E11" s="40">
        <f t="shared" si="0"/>
        <v>0</v>
      </c>
      <c r="G11" s="217" t="s">
        <v>10</v>
      </c>
      <c r="H11" s="218"/>
      <c r="I11" s="218"/>
      <c r="J11" s="219"/>
      <c r="AB11" s="217" t="s">
        <v>10</v>
      </c>
      <c r="AC11" s="218"/>
      <c r="AD11" s="218"/>
      <c r="AE11" s="219"/>
    </row>
    <row r="12" spans="1:31" ht="18.600000000000001" thickBot="1">
      <c r="A12" s="170"/>
      <c r="B12" s="169"/>
      <c r="C12" s="170"/>
      <c r="D12" s="169"/>
      <c r="E12" s="40">
        <f t="shared" si="0"/>
        <v>0</v>
      </c>
      <c r="G12" s="136" t="s">
        <v>37</v>
      </c>
      <c r="H12" s="179" t="s">
        <v>47</v>
      </c>
      <c r="I12" s="178" t="s">
        <v>38</v>
      </c>
      <c r="J12" s="177" t="s">
        <v>39</v>
      </c>
      <c r="AB12" s="136" t="s">
        <v>37</v>
      </c>
      <c r="AC12" s="179" t="s">
        <v>47</v>
      </c>
      <c r="AD12" s="178" t="s">
        <v>38</v>
      </c>
      <c r="AE12" s="177" t="s">
        <v>39</v>
      </c>
    </row>
    <row r="13" spans="1:31" ht="18">
      <c r="A13" s="170"/>
      <c r="B13" s="169"/>
      <c r="C13" s="170"/>
      <c r="D13" s="169"/>
      <c r="E13" s="40">
        <f t="shared" si="0"/>
        <v>0</v>
      </c>
      <c r="G13" s="157"/>
      <c r="H13" s="46"/>
      <c r="I13" s="176"/>
      <c r="J13" s="175"/>
      <c r="K13" s="163" t="str">
        <f>CONCATENATE(H13,"/ ",I13)</f>
        <v xml:space="preserve">/ </v>
      </c>
      <c r="AB13" s="157"/>
      <c r="AC13" s="46"/>
      <c r="AD13" s="176"/>
      <c r="AE13" s="175"/>
    </row>
    <row r="14" spans="1:31" ht="18">
      <c r="A14" s="170"/>
      <c r="B14" s="169"/>
      <c r="C14" s="170"/>
      <c r="D14" s="169"/>
      <c r="E14" s="40">
        <f t="shared" si="0"/>
        <v>0</v>
      </c>
      <c r="G14" s="18"/>
      <c r="H14" s="19"/>
      <c r="I14" s="174"/>
      <c r="J14" s="173"/>
      <c r="K14" s="163" t="str">
        <f>CONCATENATE(H14,"/ ",I14)</f>
        <v xml:space="preserve">/ </v>
      </c>
      <c r="AB14" s="18"/>
      <c r="AC14" s="19"/>
      <c r="AD14" s="174"/>
      <c r="AE14" s="173"/>
    </row>
    <row r="15" spans="1:31" ht="18">
      <c r="A15" s="170"/>
      <c r="B15" s="169"/>
      <c r="C15" s="170"/>
      <c r="D15" s="169"/>
      <c r="E15" s="40">
        <f t="shared" si="0"/>
        <v>0</v>
      </c>
      <c r="G15" s="18"/>
      <c r="H15" s="19"/>
      <c r="I15" s="174"/>
      <c r="J15" s="173"/>
      <c r="K15" s="163" t="str">
        <f>CONCATENATE(H15,"/ ",I15)</f>
        <v xml:space="preserve">/ </v>
      </c>
      <c r="AB15" s="18"/>
      <c r="AC15" s="19"/>
      <c r="AD15" s="174"/>
      <c r="AE15" s="173"/>
    </row>
    <row r="16" spans="1:31" ht="18">
      <c r="A16" s="170"/>
      <c r="B16" s="169"/>
      <c r="C16" s="170"/>
      <c r="D16" s="169"/>
      <c r="E16" s="40">
        <f t="shared" si="0"/>
        <v>0</v>
      </c>
      <c r="G16" s="18"/>
      <c r="H16" s="19"/>
      <c r="I16" s="174"/>
      <c r="J16" s="173"/>
      <c r="K16" s="163" t="str">
        <f>CONCATENATE(H16,"/ ",I16)</f>
        <v xml:space="preserve">/ </v>
      </c>
      <c r="AB16" s="18"/>
      <c r="AC16" s="19"/>
      <c r="AD16" s="174"/>
      <c r="AE16" s="173"/>
    </row>
    <row r="17" spans="1:31" ht="18.600000000000001" thickBot="1">
      <c r="A17" s="170"/>
      <c r="B17" s="169"/>
      <c r="C17" s="170"/>
      <c r="D17" s="169"/>
      <c r="E17" s="40">
        <f t="shared" si="0"/>
        <v>0</v>
      </c>
      <c r="G17" s="17"/>
      <c r="H17" s="44"/>
      <c r="I17" s="172"/>
      <c r="J17" s="171"/>
      <c r="K17" s="163" t="str">
        <f>CONCATENATE(H17,"/ ",I17)</f>
        <v xml:space="preserve">/ </v>
      </c>
      <c r="AB17" s="17"/>
      <c r="AC17" s="44"/>
      <c r="AD17" s="172"/>
      <c r="AE17" s="171"/>
    </row>
    <row r="18" spans="1:31" ht="18.600000000000001" thickBot="1">
      <c r="A18" s="170"/>
      <c r="B18" s="169"/>
      <c r="C18" s="170"/>
      <c r="D18" s="169"/>
      <c r="E18" s="40">
        <f t="shared" si="0"/>
        <v>0</v>
      </c>
      <c r="I18" s="163" t="s">
        <v>8</v>
      </c>
      <c r="J18" s="156">
        <f>SUM(D4:D70)</f>
        <v>0</v>
      </c>
      <c r="AD18" s="163" t="s">
        <v>8</v>
      </c>
      <c r="AE18" s="156">
        <f>SUM(Y4:Y70)</f>
        <v>0</v>
      </c>
    </row>
    <row r="19" spans="1:31" ht="18.600000000000001" thickBot="1">
      <c r="A19" s="170"/>
      <c r="B19" s="169"/>
      <c r="C19" s="170"/>
      <c r="D19" s="169"/>
      <c r="E19" s="40">
        <f t="shared" si="0"/>
        <v>0</v>
      </c>
      <c r="G19" s="220" t="s">
        <v>8</v>
      </c>
      <c r="H19" s="221"/>
      <c r="I19" s="178" t="s">
        <v>38</v>
      </c>
      <c r="J19" s="177" t="s">
        <v>39</v>
      </c>
      <c r="AB19" s="220" t="s">
        <v>8</v>
      </c>
      <c r="AC19" s="221"/>
      <c r="AD19" s="178" t="s">
        <v>38</v>
      </c>
      <c r="AE19" s="177" t="s">
        <v>39</v>
      </c>
    </row>
    <row r="20" spans="1:31" ht="18">
      <c r="A20" s="170"/>
      <c r="B20" s="169"/>
      <c r="C20" s="170"/>
      <c r="D20" s="169"/>
      <c r="E20" s="40">
        <f t="shared" si="0"/>
        <v>0</v>
      </c>
      <c r="G20" s="157"/>
      <c r="H20" s="46"/>
      <c r="I20" s="176"/>
      <c r="J20" s="175"/>
      <c r="K20" s="163" t="str">
        <f>CONCATENATE(H20,"/ ",I20)</f>
        <v xml:space="preserve">/ </v>
      </c>
      <c r="AB20" s="157"/>
      <c r="AC20" s="46"/>
      <c r="AD20" s="176"/>
      <c r="AE20" s="175"/>
    </row>
    <row r="21" spans="1:31" ht="18">
      <c r="A21" s="170"/>
      <c r="B21" s="169"/>
      <c r="C21" s="170"/>
      <c r="D21" s="169"/>
      <c r="E21" s="40">
        <f t="shared" si="0"/>
        <v>0</v>
      </c>
      <c r="G21" s="18"/>
      <c r="H21" s="19"/>
      <c r="I21" s="174"/>
      <c r="J21" s="173"/>
      <c r="K21" s="163" t="str">
        <f>CONCATENATE(H21,"/ ",I21)</f>
        <v xml:space="preserve">/ </v>
      </c>
      <c r="AB21" s="18"/>
      <c r="AC21" s="19"/>
      <c r="AD21" s="174"/>
      <c r="AE21" s="173"/>
    </row>
    <row r="22" spans="1:31" ht="18">
      <c r="A22" s="170"/>
      <c r="B22" s="169"/>
      <c r="C22" s="170"/>
      <c r="D22" s="169"/>
      <c r="E22" s="40">
        <f t="shared" si="0"/>
        <v>0</v>
      </c>
      <c r="G22" s="18"/>
      <c r="H22" s="19"/>
      <c r="I22" s="174"/>
      <c r="J22" s="173"/>
      <c r="K22" s="163" t="str">
        <f>CONCATENATE(H22,"/ ",I22)</f>
        <v xml:space="preserve">/ </v>
      </c>
      <c r="AB22" s="18"/>
      <c r="AC22" s="19"/>
      <c r="AD22" s="174"/>
      <c r="AE22" s="173"/>
    </row>
    <row r="23" spans="1:31" ht="18">
      <c r="A23" s="170"/>
      <c r="B23" s="169"/>
      <c r="C23" s="170"/>
      <c r="D23" s="169"/>
      <c r="E23" s="40">
        <f t="shared" si="0"/>
        <v>0</v>
      </c>
      <c r="G23" s="18"/>
      <c r="H23" s="19"/>
      <c r="I23" s="174"/>
      <c r="J23" s="173"/>
      <c r="K23" s="163" t="str">
        <f>CONCATENATE(H23,"/ ",I23)</f>
        <v xml:space="preserve">/ </v>
      </c>
      <c r="AB23" s="18"/>
      <c r="AC23" s="19"/>
      <c r="AD23" s="174"/>
      <c r="AE23" s="173"/>
    </row>
    <row r="24" spans="1:31" ht="18.600000000000001" thickBot="1">
      <c r="A24" s="170"/>
      <c r="B24" s="169"/>
      <c r="C24" s="170"/>
      <c r="D24" s="169"/>
      <c r="E24" s="40">
        <f t="shared" si="0"/>
        <v>0</v>
      </c>
      <c r="G24" s="17"/>
      <c r="H24" s="44"/>
      <c r="I24" s="172"/>
      <c r="J24" s="171"/>
      <c r="K24" s="163" t="str">
        <f>CONCATENATE(H24,"/ ",I24)</f>
        <v xml:space="preserve">/ </v>
      </c>
      <c r="AB24" s="17"/>
      <c r="AC24" s="44"/>
      <c r="AD24" s="172"/>
      <c r="AE24" s="171"/>
    </row>
    <row r="25" spans="1:31" ht="18">
      <c r="A25" s="170"/>
      <c r="B25" s="169"/>
      <c r="C25" s="170"/>
      <c r="D25" s="169"/>
      <c r="E25" s="40">
        <f t="shared" si="0"/>
        <v>0</v>
      </c>
      <c r="I25" s="163" t="s">
        <v>8</v>
      </c>
      <c r="J25" s="156">
        <f>J10+J18</f>
        <v>0</v>
      </c>
    </row>
    <row r="26" spans="1:31" ht="18">
      <c r="A26" s="170"/>
      <c r="B26" s="169"/>
      <c r="C26" s="170"/>
      <c r="D26" s="169"/>
      <c r="E26" s="40">
        <f t="shared" si="0"/>
        <v>0</v>
      </c>
    </row>
    <row r="27" spans="1:31" ht="18">
      <c r="A27" s="170"/>
      <c r="B27" s="169"/>
      <c r="C27" s="170"/>
      <c r="D27" s="169"/>
      <c r="E27" s="40">
        <f t="shared" si="0"/>
        <v>0</v>
      </c>
    </row>
    <row r="28" spans="1:31" ht="18">
      <c r="A28" s="170"/>
      <c r="B28" s="169"/>
      <c r="C28" s="170"/>
      <c r="D28" s="169"/>
      <c r="E28" s="40">
        <f t="shared" si="0"/>
        <v>0</v>
      </c>
    </row>
    <row r="29" spans="1:31" ht="18">
      <c r="A29" s="170"/>
      <c r="B29" s="169"/>
      <c r="C29" s="170"/>
      <c r="D29" s="169"/>
      <c r="E29" s="40">
        <f t="shared" si="0"/>
        <v>0</v>
      </c>
    </row>
    <row r="30" spans="1:31" ht="18">
      <c r="A30" s="170"/>
      <c r="B30" s="169"/>
      <c r="C30" s="170"/>
      <c r="D30" s="169"/>
      <c r="E30" s="40">
        <f t="shared" si="0"/>
        <v>0</v>
      </c>
    </row>
    <row r="31" spans="1:31" ht="18">
      <c r="A31" s="170"/>
      <c r="B31" s="169"/>
      <c r="C31" s="170"/>
      <c r="D31" s="169"/>
      <c r="E31" s="40">
        <f t="shared" si="0"/>
        <v>0</v>
      </c>
    </row>
    <row r="32" spans="1:31" ht="18">
      <c r="A32" s="170"/>
      <c r="B32" s="169"/>
      <c r="C32" s="170"/>
      <c r="D32" s="169"/>
      <c r="E32" s="40">
        <f t="shared" si="0"/>
        <v>0</v>
      </c>
      <c r="I32" s="154"/>
    </row>
    <row r="33" spans="1:5" ht="18">
      <c r="A33" s="170"/>
      <c r="B33" s="169"/>
      <c r="C33" s="170"/>
      <c r="D33" s="169"/>
      <c r="E33" s="40">
        <f t="shared" si="0"/>
        <v>0</v>
      </c>
    </row>
    <row r="34" spans="1:5" ht="18">
      <c r="A34" s="170"/>
      <c r="B34" s="169"/>
      <c r="C34" s="170"/>
      <c r="D34" s="169"/>
      <c r="E34" s="40">
        <f t="shared" si="0"/>
        <v>0</v>
      </c>
    </row>
    <row r="35" spans="1:5" ht="18">
      <c r="A35" s="170"/>
      <c r="B35" s="169"/>
      <c r="C35" s="170"/>
      <c r="D35" s="169"/>
      <c r="E35" s="40">
        <f t="shared" si="0"/>
        <v>0</v>
      </c>
    </row>
    <row r="36" spans="1:5" ht="18">
      <c r="A36" s="170"/>
      <c r="B36" s="169"/>
      <c r="C36" s="170"/>
      <c r="D36" s="169"/>
      <c r="E36" s="40">
        <f t="shared" ref="E36:E67" si="1">IF(A36=C36,B36+D36,D36)</f>
        <v>0</v>
      </c>
    </row>
    <row r="37" spans="1:5" ht="18">
      <c r="A37" s="170"/>
      <c r="B37" s="169"/>
      <c r="C37" s="170"/>
      <c r="D37" s="169"/>
      <c r="E37" s="40">
        <f t="shared" si="1"/>
        <v>0</v>
      </c>
    </row>
    <row r="38" spans="1:5" ht="18">
      <c r="A38" s="170"/>
      <c r="B38" s="169"/>
      <c r="C38" s="170"/>
      <c r="D38" s="169"/>
      <c r="E38" s="40">
        <f t="shared" si="1"/>
        <v>0</v>
      </c>
    </row>
    <row r="39" spans="1:5" ht="18">
      <c r="A39" s="170"/>
      <c r="B39" s="169"/>
      <c r="C39" s="170"/>
      <c r="D39" s="169"/>
      <c r="E39" s="40">
        <f t="shared" si="1"/>
        <v>0</v>
      </c>
    </row>
    <row r="40" spans="1:5" ht="18">
      <c r="A40" s="170"/>
      <c r="B40" s="169"/>
      <c r="C40" s="170"/>
      <c r="D40" s="169"/>
      <c r="E40" s="40">
        <f t="shared" si="1"/>
        <v>0</v>
      </c>
    </row>
    <row r="41" spans="1:5" ht="18">
      <c r="A41" s="170"/>
      <c r="B41" s="169"/>
      <c r="C41" s="170"/>
      <c r="D41" s="169"/>
      <c r="E41" s="40">
        <f t="shared" si="1"/>
        <v>0</v>
      </c>
    </row>
    <row r="42" spans="1:5" ht="18">
      <c r="A42" s="170"/>
      <c r="B42" s="169"/>
      <c r="C42" s="170"/>
      <c r="D42" s="169"/>
      <c r="E42" s="40">
        <f t="shared" si="1"/>
        <v>0</v>
      </c>
    </row>
    <row r="43" spans="1:5" ht="18">
      <c r="A43" s="170"/>
      <c r="B43" s="169"/>
      <c r="C43" s="170"/>
      <c r="D43" s="169"/>
      <c r="E43" s="40">
        <f t="shared" si="1"/>
        <v>0</v>
      </c>
    </row>
    <row r="44" spans="1:5" ht="18">
      <c r="A44" s="170"/>
      <c r="B44" s="169"/>
      <c r="C44" s="170"/>
      <c r="D44" s="169"/>
      <c r="E44" s="40">
        <f t="shared" si="1"/>
        <v>0</v>
      </c>
    </row>
    <row r="45" spans="1:5" ht="18">
      <c r="A45" s="170"/>
      <c r="B45" s="169"/>
      <c r="C45" s="170"/>
      <c r="D45" s="169"/>
      <c r="E45" s="40">
        <f t="shared" si="1"/>
        <v>0</v>
      </c>
    </row>
    <row r="46" spans="1:5" ht="18">
      <c r="A46" s="170"/>
      <c r="B46" s="169"/>
      <c r="C46" s="170"/>
      <c r="D46" s="169"/>
      <c r="E46" s="40">
        <f t="shared" si="1"/>
        <v>0</v>
      </c>
    </row>
    <row r="47" spans="1:5" ht="18">
      <c r="A47" s="170"/>
      <c r="B47" s="169"/>
      <c r="C47" s="170"/>
      <c r="D47" s="169"/>
      <c r="E47" s="40">
        <f t="shared" si="1"/>
        <v>0</v>
      </c>
    </row>
    <row r="48" spans="1:5" ht="18">
      <c r="A48" s="170"/>
      <c r="B48" s="169"/>
      <c r="C48" s="170"/>
      <c r="D48" s="169"/>
      <c r="E48" s="40">
        <f t="shared" si="1"/>
        <v>0</v>
      </c>
    </row>
    <row r="49" spans="1:5" ht="18">
      <c r="A49" s="170"/>
      <c r="B49" s="169"/>
      <c r="C49" s="170"/>
      <c r="D49" s="169"/>
      <c r="E49" s="40">
        <f t="shared" si="1"/>
        <v>0</v>
      </c>
    </row>
    <row r="50" spans="1:5" ht="18">
      <c r="A50" s="170"/>
      <c r="B50" s="169"/>
      <c r="C50" s="170"/>
      <c r="D50" s="169"/>
      <c r="E50" s="40">
        <f t="shared" si="1"/>
        <v>0</v>
      </c>
    </row>
    <row r="51" spans="1:5" ht="18">
      <c r="A51" s="170"/>
      <c r="B51" s="169"/>
      <c r="C51" s="170"/>
      <c r="D51" s="169"/>
      <c r="E51" s="40">
        <f t="shared" si="1"/>
        <v>0</v>
      </c>
    </row>
    <row r="52" spans="1:5" ht="18">
      <c r="A52" s="170"/>
      <c r="B52" s="169"/>
      <c r="C52" s="170"/>
      <c r="D52" s="169"/>
      <c r="E52" s="40">
        <f t="shared" si="1"/>
        <v>0</v>
      </c>
    </row>
    <row r="53" spans="1:5" ht="18">
      <c r="A53" s="170"/>
      <c r="B53" s="169"/>
      <c r="C53" s="170"/>
      <c r="D53" s="169"/>
      <c r="E53" s="40">
        <f t="shared" si="1"/>
        <v>0</v>
      </c>
    </row>
    <row r="54" spans="1:5" ht="18">
      <c r="A54" s="170"/>
      <c r="B54" s="169"/>
      <c r="C54" s="170"/>
      <c r="D54" s="169"/>
      <c r="E54" s="40">
        <f t="shared" si="1"/>
        <v>0</v>
      </c>
    </row>
    <row r="55" spans="1:5" ht="18">
      <c r="A55" s="170"/>
      <c r="B55" s="169"/>
      <c r="C55" s="170"/>
      <c r="D55" s="169"/>
      <c r="E55" s="40">
        <f t="shared" si="1"/>
        <v>0</v>
      </c>
    </row>
    <row r="56" spans="1:5" ht="18">
      <c r="A56" s="170"/>
      <c r="B56" s="169"/>
      <c r="C56" s="170"/>
      <c r="D56" s="169"/>
      <c r="E56" s="40">
        <f t="shared" si="1"/>
        <v>0</v>
      </c>
    </row>
    <row r="57" spans="1:5" ht="18">
      <c r="A57" s="170"/>
      <c r="B57" s="169"/>
      <c r="C57" s="170"/>
      <c r="D57" s="169"/>
      <c r="E57" s="40">
        <f t="shared" si="1"/>
        <v>0</v>
      </c>
    </row>
    <row r="58" spans="1:5" ht="18">
      <c r="A58" s="170"/>
      <c r="B58" s="169"/>
      <c r="C58" s="170"/>
      <c r="D58" s="169"/>
      <c r="E58" s="40">
        <f t="shared" si="1"/>
        <v>0</v>
      </c>
    </row>
    <row r="59" spans="1:5" ht="18">
      <c r="A59" s="170"/>
      <c r="B59" s="169"/>
      <c r="C59" s="170"/>
      <c r="D59" s="169"/>
      <c r="E59" s="40">
        <f t="shared" si="1"/>
        <v>0</v>
      </c>
    </row>
    <row r="60" spans="1:5" ht="18">
      <c r="A60" s="170"/>
      <c r="B60" s="169"/>
      <c r="C60" s="170"/>
      <c r="D60" s="169"/>
      <c r="E60" s="40">
        <f t="shared" si="1"/>
        <v>0</v>
      </c>
    </row>
    <row r="61" spans="1:5" ht="18">
      <c r="A61" s="170"/>
      <c r="B61" s="169"/>
      <c r="C61" s="170"/>
      <c r="D61" s="169"/>
      <c r="E61" s="40">
        <f t="shared" si="1"/>
        <v>0</v>
      </c>
    </row>
    <row r="62" spans="1:5" ht="18">
      <c r="A62" s="170"/>
      <c r="B62" s="169"/>
      <c r="C62" s="170"/>
      <c r="D62" s="169"/>
      <c r="E62" s="40">
        <f t="shared" si="1"/>
        <v>0</v>
      </c>
    </row>
    <row r="63" spans="1:5" ht="18">
      <c r="A63" s="170"/>
      <c r="B63" s="169"/>
      <c r="C63" s="170"/>
      <c r="D63" s="169"/>
      <c r="E63" s="40">
        <f t="shared" si="1"/>
        <v>0</v>
      </c>
    </row>
    <row r="64" spans="1:5" ht="18">
      <c r="A64" s="170"/>
      <c r="B64" s="169"/>
      <c r="C64" s="170"/>
      <c r="D64" s="169"/>
      <c r="E64" s="40">
        <f t="shared" si="1"/>
        <v>0</v>
      </c>
    </row>
    <row r="65" spans="1:5" ht="18">
      <c r="A65" s="170"/>
      <c r="B65" s="169"/>
      <c r="C65" s="170"/>
      <c r="D65" s="169"/>
      <c r="E65" s="40">
        <f t="shared" si="1"/>
        <v>0</v>
      </c>
    </row>
    <row r="66" spans="1:5" ht="18">
      <c r="A66" s="170"/>
      <c r="B66" s="169"/>
      <c r="C66" s="170"/>
      <c r="D66" s="169"/>
      <c r="E66" s="40">
        <f t="shared" si="1"/>
        <v>0</v>
      </c>
    </row>
    <row r="67" spans="1:5" ht="18">
      <c r="A67" s="170"/>
      <c r="B67" s="169"/>
      <c r="C67" s="170"/>
      <c r="D67" s="169"/>
      <c r="E67" s="40">
        <f t="shared" si="1"/>
        <v>0</v>
      </c>
    </row>
    <row r="68" spans="1:5" ht="18">
      <c r="A68" s="170"/>
      <c r="B68" s="169"/>
      <c r="C68" s="170"/>
      <c r="D68" s="169"/>
      <c r="E68" s="40">
        <f t="shared" ref="E68:E70" si="2">IF(A68=C68,B68+D68,D68)</f>
        <v>0</v>
      </c>
    </row>
    <row r="69" spans="1:5" ht="18">
      <c r="A69" s="170"/>
      <c r="B69" s="169"/>
      <c r="C69" s="170"/>
      <c r="D69" s="169"/>
      <c r="E69" s="40">
        <f t="shared" si="2"/>
        <v>0</v>
      </c>
    </row>
    <row r="70" spans="1:5" ht="18">
      <c r="A70" s="170"/>
      <c r="B70" s="169"/>
      <c r="C70" s="170"/>
      <c r="D70" s="169"/>
      <c r="E70" s="40">
        <f t="shared" si="2"/>
        <v>0</v>
      </c>
    </row>
    <row r="71" spans="1:5" ht="18">
      <c r="B71" s="170"/>
      <c r="C71" s="169"/>
      <c r="D71" s="169"/>
      <c r="E71" s="40"/>
    </row>
    <row r="72" spans="1:5" ht="18">
      <c r="B72" s="170"/>
      <c r="C72" s="169"/>
      <c r="D72" s="169"/>
      <c r="E72" s="40"/>
    </row>
    <row r="73" spans="1:5" ht="18">
      <c r="B73" s="170"/>
      <c r="C73" s="169"/>
      <c r="D73" s="169"/>
      <c r="E73" s="40"/>
    </row>
    <row r="74" spans="1:5" ht="18">
      <c r="B74" s="170"/>
      <c r="C74" s="169"/>
      <c r="D74" s="169"/>
      <c r="E74" s="40"/>
    </row>
    <row r="75" spans="1:5" ht="18">
      <c r="B75" s="170"/>
      <c r="C75" s="169"/>
      <c r="D75" s="169"/>
      <c r="E75" s="40"/>
    </row>
    <row r="76" spans="1:5" ht="18">
      <c r="B76" s="170"/>
      <c r="C76" s="169"/>
      <c r="D76" s="169"/>
      <c r="E76" s="40"/>
    </row>
    <row r="77" spans="1:5" ht="18">
      <c r="B77" s="170"/>
      <c r="C77" s="169"/>
      <c r="D77" s="169"/>
      <c r="E77" s="40"/>
    </row>
    <row r="78" spans="1:5" ht="18">
      <c r="B78" s="170"/>
      <c r="C78" s="169"/>
      <c r="D78" s="169"/>
      <c r="E78" s="40"/>
    </row>
    <row r="79" spans="1:5" ht="18">
      <c r="B79" s="170"/>
      <c r="C79" s="169"/>
      <c r="D79" s="169"/>
      <c r="E79" s="40"/>
    </row>
    <row r="80" spans="1:5" ht="18">
      <c r="B80" s="170"/>
      <c r="C80" s="169"/>
      <c r="D80" s="169"/>
      <c r="E80" s="40"/>
    </row>
    <row r="81" spans="2:5" ht="18">
      <c r="B81" s="170"/>
      <c r="C81" s="169"/>
      <c r="D81" s="169"/>
      <c r="E81" s="40"/>
    </row>
    <row r="82" spans="2:5" ht="18">
      <c r="B82" s="170"/>
      <c r="C82" s="169"/>
      <c r="D82" s="169"/>
      <c r="E82" s="40"/>
    </row>
    <row r="83" spans="2:5" ht="18">
      <c r="B83" s="170"/>
      <c r="C83" s="169"/>
      <c r="D83" s="169"/>
      <c r="E83" s="40"/>
    </row>
    <row r="84" spans="2:5" ht="18">
      <c r="B84" s="170"/>
      <c r="C84" s="169"/>
      <c r="D84" s="169"/>
      <c r="E84" s="40"/>
    </row>
    <row r="85" spans="2:5" ht="18">
      <c r="B85" s="170"/>
      <c r="C85" s="169"/>
      <c r="D85" s="169"/>
      <c r="E85" s="40"/>
    </row>
    <row r="86" spans="2:5" ht="18">
      <c r="B86" s="170"/>
      <c r="C86" s="169"/>
      <c r="D86" s="169"/>
      <c r="E86" s="40"/>
    </row>
    <row r="87" spans="2:5" ht="18">
      <c r="B87" s="170"/>
      <c r="C87" s="169"/>
      <c r="D87" s="169"/>
      <c r="E87" s="40"/>
    </row>
    <row r="88" spans="2:5" ht="18">
      <c r="B88" s="170"/>
      <c r="C88" s="169"/>
      <c r="D88" s="169"/>
      <c r="E88" s="40"/>
    </row>
    <row r="89" spans="2:5" ht="18">
      <c r="B89" s="170"/>
      <c r="C89" s="169"/>
      <c r="D89" s="169"/>
      <c r="E89" s="40"/>
    </row>
    <row r="90" spans="2:5" ht="18">
      <c r="B90" s="170"/>
      <c r="C90" s="169"/>
      <c r="D90" s="169"/>
      <c r="E90" s="40"/>
    </row>
    <row r="91" spans="2:5" ht="18">
      <c r="B91" s="170"/>
      <c r="C91" s="169"/>
      <c r="D91" s="169"/>
      <c r="E91" s="40"/>
    </row>
    <row r="92" spans="2:5" ht="18">
      <c r="B92" s="170"/>
      <c r="C92" s="169"/>
      <c r="D92" s="169"/>
      <c r="E92" s="40"/>
    </row>
    <row r="93" spans="2:5" ht="18">
      <c r="B93" s="170"/>
      <c r="C93" s="169"/>
      <c r="D93" s="169"/>
      <c r="E93" s="40"/>
    </row>
    <row r="94" spans="2:5" ht="18">
      <c r="B94" s="170"/>
      <c r="C94" s="169"/>
      <c r="D94" s="169"/>
      <c r="E94" s="40"/>
    </row>
    <row r="95" spans="2:5" ht="18">
      <c r="B95" s="170"/>
      <c r="C95" s="169"/>
      <c r="D95" s="169"/>
      <c r="E95" s="40"/>
    </row>
    <row r="96" spans="2:5" ht="18">
      <c r="B96" s="170"/>
      <c r="C96" s="169"/>
      <c r="D96" s="169"/>
      <c r="E96" s="40"/>
    </row>
    <row r="97" spans="1:31" ht="18">
      <c r="B97" s="170"/>
      <c r="C97" s="169"/>
      <c r="D97" s="169"/>
      <c r="E97" s="40"/>
    </row>
    <row r="98" spans="1:31" ht="18">
      <c r="B98" s="170"/>
      <c r="C98" s="169"/>
      <c r="D98" s="169"/>
      <c r="E98" s="40"/>
    </row>
    <row r="99" spans="1:31" ht="18">
      <c r="B99" s="170"/>
      <c r="C99" s="169"/>
      <c r="D99" s="169"/>
      <c r="E99" s="40"/>
    </row>
    <row r="100" spans="1:31" ht="18">
      <c r="B100" s="170"/>
      <c r="C100" s="169"/>
      <c r="D100" s="169"/>
      <c r="E100" s="40"/>
    </row>
    <row r="101" spans="1:31" s="155" customFormat="1" ht="28.8">
      <c r="A101" s="180" t="s">
        <v>26</v>
      </c>
      <c r="B101" s="181"/>
      <c r="C101" s="180"/>
      <c r="D101" s="180"/>
      <c r="E101" s="180"/>
    </row>
    <row r="103" spans="1:31" ht="15" thickBot="1"/>
    <row r="104" spans="1:31" ht="15" thickBot="1">
      <c r="A104" s="71" t="s">
        <v>37</v>
      </c>
      <c r="B104" s="67" t="s">
        <v>9</v>
      </c>
      <c r="C104" s="67" t="s">
        <v>37</v>
      </c>
      <c r="D104" s="67" t="s">
        <v>10</v>
      </c>
      <c r="E104" s="67" t="s">
        <v>8</v>
      </c>
      <c r="G104" s="217" t="s">
        <v>9</v>
      </c>
      <c r="H104" s="218"/>
      <c r="I104" s="218"/>
      <c r="J104" s="219"/>
      <c r="AB104" s="217" t="s">
        <v>9</v>
      </c>
      <c r="AC104" s="218"/>
      <c r="AD104" s="218"/>
      <c r="AE104" s="219"/>
    </row>
    <row r="105" spans="1:31" ht="18.600000000000001" thickBot="1">
      <c r="A105" s="170"/>
      <c r="B105" s="169"/>
      <c r="C105" s="170"/>
      <c r="D105" s="169"/>
      <c r="E105" s="40">
        <f t="shared" ref="E105:E136" si="3">IF(A105=C105,B105+D105,D105)</f>
        <v>0</v>
      </c>
      <c r="G105" s="136" t="s">
        <v>37</v>
      </c>
      <c r="H105" s="179" t="s">
        <v>47</v>
      </c>
      <c r="I105" s="178" t="s">
        <v>38</v>
      </c>
      <c r="J105" s="177" t="s">
        <v>39</v>
      </c>
      <c r="AB105" s="136" t="s">
        <v>37</v>
      </c>
      <c r="AC105" s="179" t="s">
        <v>47</v>
      </c>
      <c r="AD105" s="178" t="s">
        <v>38</v>
      </c>
      <c r="AE105" s="177" t="s">
        <v>39</v>
      </c>
    </row>
    <row r="106" spans="1:31" ht="18">
      <c r="A106" s="170"/>
      <c r="B106" s="169"/>
      <c r="C106" s="170"/>
      <c r="D106" s="169"/>
      <c r="E106" s="40">
        <f t="shared" si="3"/>
        <v>0</v>
      </c>
      <c r="G106" s="157"/>
      <c r="H106" s="46"/>
      <c r="I106" s="176"/>
      <c r="J106" s="175"/>
      <c r="K106" s="163" t="str">
        <f>CONCATENATE(H106,"/ ",I106)</f>
        <v xml:space="preserve">/ </v>
      </c>
      <c r="AB106" s="157"/>
      <c r="AC106" s="46"/>
      <c r="AD106" s="176"/>
      <c r="AE106" s="175"/>
    </row>
    <row r="107" spans="1:31" ht="18">
      <c r="A107" s="170"/>
      <c r="B107" s="169"/>
      <c r="C107" s="170"/>
      <c r="D107" s="169"/>
      <c r="E107" s="40">
        <f t="shared" si="3"/>
        <v>0</v>
      </c>
      <c r="G107" s="18"/>
      <c r="H107" s="19"/>
      <c r="I107" s="174"/>
      <c r="J107" s="173"/>
      <c r="K107" s="163" t="str">
        <f>CONCATENATE(H107,"/ ",I107)</f>
        <v xml:space="preserve">/ </v>
      </c>
      <c r="AB107" s="18"/>
      <c r="AC107" s="19"/>
      <c r="AD107" s="174"/>
      <c r="AE107" s="173"/>
    </row>
    <row r="108" spans="1:31" ht="18">
      <c r="A108" s="170"/>
      <c r="B108" s="169"/>
      <c r="C108" s="170"/>
      <c r="D108" s="169"/>
      <c r="E108" s="40">
        <f t="shared" si="3"/>
        <v>0</v>
      </c>
      <c r="G108" s="18"/>
      <c r="H108" s="19"/>
      <c r="I108" s="174"/>
      <c r="J108" s="173"/>
      <c r="K108" s="163" t="str">
        <f>CONCATENATE(H108,"/ ",I108)</f>
        <v xml:space="preserve">/ </v>
      </c>
      <c r="AB108" s="18"/>
      <c r="AC108" s="19"/>
      <c r="AD108" s="174"/>
      <c r="AE108" s="173"/>
    </row>
    <row r="109" spans="1:31" ht="18">
      <c r="A109" s="170"/>
      <c r="B109" s="169"/>
      <c r="C109" s="170"/>
      <c r="D109" s="169"/>
      <c r="E109" s="40">
        <f t="shared" si="3"/>
        <v>0</v>
      </c>
      <c r="G109" s="18"/>
      <c r="H109" s="19"/>
      <c r="I109" s="174"/>
      <c r="J109" s="173"/>
      <c r="K109" s="163" t="str">
        <f>CONCATENATE(H109,"/ ",I109)</f>
        <v xml:space="preserve">/ </v>
      </c>
      <c r="AB109" s="18"/>
      <c r="AC109" s="19"/>
      <c r="AD109" s="174"/>
      <c r="AE109" s="173"/>
    </row>
    <row r="110" spans="1:31" ht="18.600000000000001" thickBot="1">
      <c r="A110" s="170"/>
      <c r="B110" s="169"/>
      <c r="C110" s="170"/>
      <c r="D110" s="169"/>
      <c r="E110" s="40">
        <f t="shared" si="3"/>
        <v>0</v>
      </c>
      <c r="G110" s="17"/>
      <c r="H110" s="44"/>
      <c r="I110" s="172"/>
      <c r="J110" s="171"/>
      <c r="K110" s="163" t="str">
        <f>CONCATENATE(H110,"/ ",I110)</f>
        <v xml:space="preserve">/ </v>
      </c>
      <c r="AB110" s="17"/>
      <c r="AC110" s="44"/>
      <c r="AD110" s="172"/>
      <c r="AE110" s="171"/>
    </row>
    <row r="111" spans="1:31" ht="18.600000000000001" thickBot="1">
      <c r="A111" s="170"/>
      <c r="B111" s="169"/>
      <c r="C111" s="170"/>
      <c r="D111" s="169"/>
      <c r="E111" s="40">
        <f t="shared" si="3"/>
        <v>0</v>
      </c>
      <c r="I111" s="163" t="s">
        <v>8</v>
      </c>
      <c r="J111" s="156">
        <f>SUM(B105:B190)</f>
        <v>0</v>
      </c>
      <c r="AD111" s="163" t="s">
        <v>8</v>
      </c>
      <c r="AE111" s="156">
        <f>SUM(W105:W171)</f>
        <v>0</v>
      </c>
    </row>
    <row r="112" spans="1:31" ht="18.600000000000001" thickBot="1">
      <c r="A112" s="170"/>
      <c r="B112" s="169"/>
      <c r="C112" s="170"/>
      <c r="D112" s="169"/>
      <c r="E112" s="40">
        <f t="shared" si="3"/>
        <v>0</v>
      </c>
      <c r="G112" s="217" t="s">
        <v>10</v>
      </c>
      <c r="H112" s="218"/>
      <c r="I112" s="218"/>
      <c r="J112" s="219"/>
      <c r="AB112" s="217" t="s">
        <v>10</v>
      </c>
      <c r="AC112" s="218"/>
      <c r="AD112" s="218"/>
      <c r="AE112" s="219"/>
    </row>
    <row r="113" spans="1:31" ht="18.600000000000001" thickBot="1">
      <c r="A113" s="170"/>
      <c r="B113" s="169"/>
      <c r="C113" s="170"/>
      <c r="D113" s="169"/>
      <c r="E113" s="40">
        <f t="shared" si="3"/>
        <v>0</v>
      </c>
      <c r="G113" s="136" t="s">
        <v>37</v>
      </c>
      <c r="H113" s="179" t="s">
        <v>47</v>
      </c>
      <c r="I113" s="178" t="s">
        <v>38</v>
      </c>
      <c r="J113" s="177" t="s">
        <v>39</v>
      </c>
      <c r="AB113" s="136" t="s">
        <v>37</v>
      </c>
      <c r="AC113" s="179" t="s">
        <v>47</v>
      </c>
      <c r="AD113" s="178" t="s">
        <v>38</v>
      </c>
      <c r="AE113" s="177" t="s">
        <v>39</v>
      </c>
    </row>
    <row r="114" spans="1:31" ht="18">
      <c r="A114" s="170"/>
      <c r="B114" s="169"/>
      <c r="C114" s="170"/>
      <c r="D114" s="169"/>
      <c r="E114" s="40">
        <f t="shared" si="3"/>
        <v>0</v>
      </c>
      <c r="G114" s="157"/>
      <c r="H114" s="46"/>
      <c r="I114" s="176"/>
      <c r="J114" s="175"/>
      <c r="K114" s="163" t="str">
        <f>CONCATENATE(H114,"/ ",I114)</f>
        <v xml:space="preserve">/ </v>
      </c>
      <c r="AB114" s="157"/>
      <c r="AC114" s="46"/>
      <c r="AD114" s="176"/>
      <c r="AE114" s="175"/>
    </row>
    <row r="115" spans="1:31" ht="18">
      <c r="A115" s="170"/>
      <c r="B115" s="169"/>
      <c r="C115" s="170"/>
      <c r="D115" s="169"/>
      <c r="E115" s="40">
        <f t="shared" si="3"/>
        <v>0</v>
      </c>
      <c r="G115" s="18"/>
      <c r="H115" s="19"/>
      <c r="I115" s="174"/>
      <c r="J115" s="173"/>
      <c r="K115" s="163" t="str">
        <f>CONCATENATE(H115,"/ ",I115)</f>
        <v xml:space="preserve">/ </v>
      </c>
      <c r="AB115" s="18"/>
      <c r="AC115" s="19"/>
      <c r="AD115" s="174"/>
      <c r="AE115" s="173"/>
    </row>
    <row r="116" spans="1:31" ht="18">
      <c r="A116" s="170"/>
      <c r="B116" s="169"/>
      <c r="C116" s="170"/>
      <c r="D116" s="169"/>
      <c r="E116" s="40">
        <f t="shared" si="3"/>
        <v>0</v>
      </c>
      <c r="G116" s="18"/>
      <c r="H116" s="19"/>
      <c r="I116" s="174"/>
      <c r="J116" s="173"/>
      <c r="K116" s="163" t="str">
        <f>CONCATENATE(H116,"/ ",I116)</f>
        <v xml:space="preserve">/ </v>
      </c>
      <c r="AB116" s="18"/>
      <c r="AC116" s="19"/>
      <c r="AD116" s="174"/>
      <c r="AE116" s="173"/>
    </row>
    <row r="117" spans="1:31" ht="18">
      <c r="A117" s="170"/>
      <c r="B117" s="169"/>
      <c r="C117" s="170"/>
      <c r="D117" s="169"/>
      <c r="E117" s="40">
        <f t="shared" si="3"/>
        <v>0</v>
      </c>
      <c r="G117" s="18"/>
      <c r="H117" s="19"/>
      <c r="I117" s="174"/>
      <c r="J117" s="173"/>
      <c r="K117" s="163" t="str">
        <f>CONCATENATE(H117,"/ ",I117)</f>
        <v xml:space="preserve">/ </v>
      </c>
      <c r="AB117" s="18"/>
      <c r="AC117" s="19"/>
      <c r="AD117" s="174"/>
      <c r="AE117" s="173"/>
    </row>
    <row r="118" spans="1:31" ht="18.600000000000001" thickBot="1">
      <c r="A118" s="170"/>
      <c r="B118" s="169"/>
      <c r="C118" s="170"/>
      <c r="D118" s="169"/>
      <c r="E118" s="40">
        <f t="shared" si="3"/>
        <v>0</v>
      </c>
      <c r="G118" s="17"/>
      <c r="H118" s="44"/>
      <c r="I118" s="172"/>
      <c r="J118" s="171"/>
      <c r="K118" s="163" t="str">
        <f>CONCATENATE(H118,"/ ",I118)</f>
        <v xml:space="preserve">/ </v>
      </c>
      <c r="AB118" s="17"/>
      <c r="AC118" s="44"/>
      <c r="AD118" s="172"/>
      <c r="AE118" s="171"/>
    </row>
    <row r="119" spans="1:31" ht="18.600000000000001" thickBot="1">
      <c r="A119" s="170"/>
      <c r="B119" s="169"/>
      <c r="C119" s="170"/>
      <c r="D119" s="169"/>
      <c r="E119" s="40">
        <f t="shared" si="3"/>
        <v>0</v>
      </c>
      <c r="I119" s="163" t="s">
        <v>8</v>
      </c>
      <c r="J119" s="156">
        <f>SUM(D105:D190)</f>
        <v>0</v>
      </c>
      <c r="AD119" s="163" t="s">
        <v>8</v>
      </c>
      <c r="AE119" s="156">
        <f>SUM(Y105:Y171)</f>
        <v>0</v>
      </c>
    </row>
    <row r="120" spans="1:31" ht="18.600000000000001" thickBot="1">
      <c r="A120" s="170"/>
      <c r="B120" s="169"/>
      <c r="C120" s="170"/>
      <c r="D120" s="169"/>
      <c r="E120" s="40">
        <f t="shared" si="3"/>
        <v>0</v>
      </c>
      <c r="G120" s="220" t="s">
        <v>8</v>
      </c>
      <c r="H120" s="221"/>
      <c r="I120" s="178" t="s">
        <v>38</v>
      </c>
      <c r="J120" s="177" t="s">
        <v>39</v>
      </c>
      <c r="AB120" s="220" t="s">
        <v>8</v>
      </c>
      <c r="AC120" s="221"/>
      <c r="AD120" s="178" t="s">
        <v>38</v>
      </c>
      <c r="AE120" s="177" t="s">
        <v>39</v>
      </c>
    </row>
    <row r="121" spans="1:31" ht="18">
      <c r="A121" s="170"/>
      <c r="B121" s="169"/>
      <c r="C121" s="170"/>
      <c r="D121" s="169"/>
      <c r="E121" s="40">
        <f t="shared" si="3"/>
        <v>0</v>
      </c>
      <c r="G121" s="157"/>
      <c r="H121" s="46"/>
      <c r="I121" s="176"/>
      <c r="J121" s="175"/>
      <c r="K121" s="163" t="str">
        <f>CONCATENATE(H121,"/ ",I121)</f>
        <v xml:space="preserve">/ </v>
      </c>
      <c r="AB121" s="157"/>
      <c r="AC121" s="46"/>
      <c r="AD121" s="176"/>
      <c r="AE121" s="175"/>
    </row>
    <row r="122" spans="1:31" ht="18">
      <c r="A122" s="170"/>
      <c r="B122" s="169"/>
      <c r="C122" s="170"/>
      <c r="D122" s="169"/>
      <c r="E122" s="40">
        <f t="shared" si="3"/>
        <v>0</v>
      </c>
      <c r="G122" s="18"/>
      <c r="H122" s="19"/>
      <c r="I122" s="174"/>
      <c r="J122" s="173"/>
      <c r="K122" s="163" t="str">
        <f>CONCATENATE(H122,"/ ",I122)</f>
        <v xml:space="preserve">/ </v>
      </c>
      <c r="AB122" s="18"/>
      <c r="AC122" s="19"/>
      <c r="AD122" s="174"/>
      <c r="AE122" s="173"/>
    </row>
    <row r="123" spans="1:31" ht="18">
      <c r="A123" s="170"/>
      <c r="B123" s="169"/>
      <c r="C123" s="170"/>
      <c r="D123" s="169"/>
      <c r="E123" s="40">
        <f t="shared" si="3"/>
        <v>0</v>
      </c>
      <c r="G123" s="18"/>
      <c r="H123" s="19"/>
      <c r="I123" s="174"/>
      <c r="J123" s="173"/>
      <c r="K123" s="163" t="str">
        <f>CONCATENATE(H123,"/ ",I123)</f>
        <v xml:space="preserve">/ </v>
      </c>
      <c r="AB123" s="18"/>
      <c r="AC123" s="19"/>
      <c r="AD123" s="174"/>
      <c r="AE123" s="173"/>
    </row>
    <row r="124" spans="1:31" ht="18">
      <c r="A124" s="170"/>
      <c r="B124" s="169"/>
      <c r="C124" s="170"/>
      <c r="D124" s="169"/>
      <c r="E124" s="40">
        <f t="shared" si="3"/>
        <v>0</v>
      </c>
      <c r="G124" s="18"/>
      <c r="H124" s="19"/>
      <c r="I124" s="174"/>
      <c r="J124" s="173"/>
      <c r="K124" s="163" t="str">
        <f>CONCATENATE(H124,"/ ",I124)</f>
        <v xml:space="preserve">/ </v>
      </c>
      <c r="AB124" s="18"/>
      <c r="AC124" s="19"/>
      <c r="AD124" s="174"/>
      <c r="AE124" s="173"/>
    </row>
    <row r="125" spans="1:31" ht="18.600000000000001" thickBot="1">
      <c r="A125" s="170"/>
      <c r="B125" s="169"/>
      <c r="C125" s="170"/>
      <c r="D125" s="169"/>
      <c r="E125" s="40">
        <f t="shared" si="3"/>
        <v>0</v>
      </c>
      <c r="G125" s="17"/>
      <c r="H125" s="44"/>
      <c r="I125" s="172"/>
      <c r="J125" s="171"/>
      <c r="K125" s="163" t="str">
        <f>CONCATENATE(H125,"/ ",I125)</f>
        <v xml:space="preserve">/ </v>
      </c>
      <c r="AB125" s="17"/>
      <c r="AC125" s="44"/>
      <c r="AD125" s="172"/>
      <c r="AE125" s="171"/>
    </row>
    <row r="126" spans="1:31" ht="18">
      <c r="A126" s="170"/>
      <c r="B126" s="169"/>
      <c r="C126" s="170"/>
      <c r="D126" s="169"/>
      <c r="E126" s="40">
        <f t="shared" si="3"/>
        <v>0</v>
      </c>
      <c r="I126" s="163" t="s">
        <v>8</v>
      </c>
      <c r="J126" s="156">
        <f>J111+J119</f>
        <v>0</v>
      </c>
    </row>
    <row r="127" spans="1:31" ht="18">
      <c r="A127" s="170"/>
      <c r="B127" s="169"/>
      <c r="C127" s="170"/>
      <c r="D127" s="169"/>
      <c r="E127" s="40">
        <f t="shared" si="3"/>
        <v>0</v>
      </c>
    </row>
    <row r="128" spans="1:31" ht="18">
      <c r="A128" s="170"/>
      <c r="B128" s="169"/>
      <c r="C128" s="170"/>
      <c r="D128" s="169"/>
      <c r="E128" s="40">
        <f t="shared" si="3"/>
        <v>0</v>
      </c>
    </row>
    <row r="129" spans="1:5" ht="18">
      <c r="A129" s="170"/>
      <c r="B129" s="169"/>
      <c r="C129" s="170"/>
      <c r="D129" s="169"/>
      <c r="E129" s="40">
        <f t="shared" si="3"/>
        <v>0</v>
      </c>
    </row>
    <row r="130" spans="1:5" ht="18">
      <c r="A130" s="170"/>
      <c r="B130" s="169"/>
      <c r="C130" s="170"/>
      <c r="D130" s="169"/>
      <c r="E130" s="40">
        <f t="shared" si="3"/>
        <v>0</v>
      </c>
    </row>
    <row r="131" spans="1:5" ht="18">
      <c r="A131" s="170"/>
      <c r="B131" s="169"/>
      <c r="C131" s="170"/>
      <c r="D131" s="169"/>
      <c r="E131" s="40">
        <f t="shared" si="3"/>
        <v>0</v>
      </c>
    </row>
    <row r="132" spans="1:5" ht="18">
      <c r="A132" s="170"/>
      <c r="B132" s="169"/>
      <c r="C132" s="170"/>
      <c r="D132" s="169"/>
      <c r="E132" s="40">
        <f t="shared" si="3"/>
        <v>0</v>
      </c>
    </row>
    <row r="133" spans="1:5" ht="18">
      <c r="A133" s="170"/>
      <c r="B133" s="169"/>
      <c r="C133" s="170"/>
      <c r="D133" s="169"/>
      <c r="E133" s="40">
        <f t="shared" si="3"/>
        <v>0</v>
      </c>
    </row>
    <row r="134" spans="1:5" ht="18">
      <c r="A134" s="170"/>
      <c r="B134" s="169"/>
      <c r="C134" s="170"/>
      <c r="D134" s="169"/>
      <c r="E134" s="40">
        <f t="shared" si="3"/>
        <v>0</v>
      </c>
    </row>
    <row r="135" spans="1:5" ht="18">
      <c r="A135" s="170"/>
      <c r="B135" s="169"/>
      <c r="C135" s="170"/>
      <c r="D135" s="169"/>
      <c r="E135" s="40">
        <f t="shared" si="3"/>
        <v>0</v>
      </c>
    </row>
    <row r="136" spans="1:5" ht="18">
      <c r="A136" s="170"/>
      <c r="B136" s="169"/>
      <c r="C136" s="170"/>
      <c r="D136" s="169"/>
      <c r="E136" s="40">
        <f t="shared" si="3"/>
        <v>0</v>
      </c>
    </row>
    <row r="137" spans="1:5" ht="18">
      <c r="A137" s="170"/>
      <c r="B137" s="169"/>
      <c r="C137" s="170"/>
      <c r="D137" s="169"/>
      <c r="E137" s="40">
        <f t="shared" ref="E137:E168" si="4">IF(A137=C137,B137+D137,D137)</f>
        <v>0</v>
      </c>
    </row>
    <row r="138" spans="1:5" ht="18">
      <c r="A138" s="170"/>
      <c r="B138" s="169"/>
      <c r="C138" s="170"/>
      <c r="D138" s="169"/>
      <c r="E138" s="40">
        <f t="shared" si="4"/>
        <v>0</v>
      </c>
    </row>
    <row r="139" spans="1:5" ht="18">
      <c r="A139" s="170"/>
      <c r="B139" s="169"/>
      <c r="C139" s="170"/>
      <c r="D139" s="169"/>
      <c r="E139" s="40">
        <f t="shared" si="4"/>
        <v>0</v>
      </c>
    </row>
    <row r="140" spans="1:5" ht="18">
      <c r="A140" s="170"/>
      <c r="B140" s="169"/>
      <c r="C140" s="170"/>
      <c r="D140" s="169"/>
      <c r="E140" s="40">
        <f t="shared" si="4"/>
        <v>0</v>
      </c>
    </row>
    <row r="141" spans="1:5" ht="18">
      <c r="A141" s="170"/>
      <c r="B141" s="169"/>
      <c r="C141" s="170"/>
      <c r="D141" s="169"/>
      <c r="E141" s="40">
        <f t="shared" si="4"/>
        <v>0</v>
      </c>
    </row>
    <row r="142" spans="1:5" ht="18">
      <c r="A142" s="170"/>
      <c r="B142" s="169"/>
      <c r="C142" s="170"/>
      <c r="D142" s="169"/>
      <c r="E142" s="40">
        <f t="shared" si="4"/>
        <v>0</v>
      </c>
    </row>
    <row r="143" spans="1:5" ht="18">
      <c r="A143" s="170"/>
      <c r="B143" s="169"/>
      <c r="C143" s="170"/>
      <c r="D143" s="169"/>
      <c r="E143" s="40">
        <f t="shared" si="4"/>
        <v>0</v>
      </c>
    </row>
    <row r="144" spans="1:5" ht="18">
      <c r="A144" s="170"/>
      <c r="B144" s="169"/>
      <c r="C144" s="170"/>
      <c r="D144" s="169"/>
      <c r="E144" s="40">
        <f t="shared" si="4"/>
        <v>0</v>
      </c>
    </row>
    <row r="145" spans="1:5" ht="18">
      <c r="A145" s="170"/>
      <c r="B145" s="169"/>
      <c r="C145" s="170"/>
      <c r="D145" s="169"/>
      <c r="E145" s="40">
        <f t="shared" si="4"/>
        <v>0</v>
      </c>
    </row>
    <row r="146" spans="1:5" ht="18">
      <c r="A146" s="170"/>
      <c r="B146" s="169"/>
      <c r="C146" s="170"/>
      <c r="D146" s="169"/>
      <c r="E146" s="40">
        <f t="shared" si="4"/>
        <v>0</v>
      </c>
    </row>
    <row r="147" spans="1:5" ht="18">
      <c r="A147" s="170"/>
      <c r="B147" s="169"/>
      <c r="C147" s="170"/>
      <c r="D147" s="169"/>
      <c r="E147" s="40">
        <f t="shared" si="4"/>
        <v>0</v>
      </c>
    </row>
    <row r="148" spans="1:5" ht="18">
      <c r="A148" s="170"/>
      <c r="B148" s="169"/>
      <c r="C148" s="170"/>
      <c r="D148" s="169"/>
      <c r="E148" s="40">
        <f t="shared" si="4"/>
        <v>0</v>
      </c>
    </row>
    <row r="149" spans="1:5" ht="18">
      <c r="A149" s="170"/>
      <c r="B149" s="169"/>
      <c r="C149" s="170"/>
      <c r="D149" s="169"/>
      <c r="E149" s="40">
        <f t="shared" si="4"/>
        <v>0</v>
      </c>
    </row>
    <row r="150" spans="1:5" ht="18">
      <c r="A150" s="170"/>
      <c r="B150" s="169"/>
      <c r="C150" s="170"/>
      <c r="D150" s="169"/>
      <c r="E150" s="40">
        <f t="shared" si="4"/>
        <v>0</v>
      </c>
    </row>
    <row r="151" spans="1:5" ht="18">
      <c r="A151" s="170"/>
      <c r="B151" s="169"/>
      <c r="C151" s="170"/>
      <c r="D151" s="169"/>
      <c r="E151" s="40">
        <f t="shared" si="4"/>
        <v>0</v>
      </c>
    </row>
    <row r="152" spans="1:5" ht="18">
      <c r="A152" s="170"/>
      <c r="B152" s="169"/>
      <c r="C152" s="170"/>
      <c r="D152" s="169"/>
      <c r="E152" s="40">
        <f t="shared" si="4"/>
        <v>0</v>
      </c>
    </row>
    <row r="153" spans="1:5" ht="18">
      <c r="A153" s="170"/>
      <c r="B153" s="169"/>
      <c r="C153" s="170"/>
      <c r="D153" s="169"/>
      <c r="E153" s="40">
        <f t="shared" si="4"/>
        <v>0</v>
      </c>
    </row>
    <row r="154" spans="1:5" ht="18">
      <c r="A154" s="170"/>
      <c r="B154" s="169"/>
      <c r="C154" s="170"/>
      <c r="D154" s="169"/>
      <c r="E154" s="40">
        <f t="shared" si="4"/>
        <v>0</v>
      </c>
    </row>
    <row r="155" spans="1:5" ht="18">
      <c r="A155" s="170"/>
      <c r="B155" s="169"/>
      <c r="C155" s="170"/>
      <c r="D155" s="169"/>
      <c r="E155" s="40">
        <f t="shared" si="4"/>
        <v>0</v>
      </c>
    </row>
    <row r="156" spans="1:5" ht="18">
      <c r="A156" s="170"/>
      <c r="B156" s="169"/>
      <c r="C156" s="170"/>
      <c r="D156" s="169"/>
      <c r="E156" s="40">
        <f t="shared" si="4"/>
        <v>0</v>
      </c>
    </row>
    <row r="157" spans="1:5" ht="18">
      <c r="A157" s="170"/>
      <c r="B157" s="169"/>
      <c r="C157" s="170"/>
      <c r="D157" s="169"/>
      <c r="E157" s="40">
        <f t="shared" si="4"/>
        <v>0</v>
      </c>
    </row>
    <row r="158" spans="1:5" ht="18">
      <c r="A158" s="170"/>
      <c r="B158" s="169"/>
      <c r="C158" s="170"/>
      <c r="D158" s="169"/>
      <c r="E158" s="40">
        <f t="shared" si="4"/>
        <v>0</v>
      </c>
    </row>
    <row r="159" spans="1:5" ht="18">
      <c r="A159" s="170"/>
      <c r="B159" s="169"/>
      <c r="C159" s="170"/>
      <c r="D159" s="169"/>
      <c r="E159" s="40">
        <f t="shared" si="4"/>
        <v>0</v>
      </c>
    </row>
    <row r="160" spans="1:5" ht="18">
      <c r="A160" s="170"/>
      <c r="B160" s="169"/>
      <c r="C160" s="170"/>
      <c r="D160" s="169"/>
      <c r="E160" s="40">
        <f t="shared" si="4"/>
        <v>0</v>
      </c>
    </row>
    <row r="161" spans="1:5" ht="18">
      <c r="A161" s="170"/>
      <c r="B161" s="169"/>
      <c r="C161" s="170"/>
      <c r="D161" s="169"/>
      <c r="E161" s="40">
        <f t="shared" si="4"/>
        <v>0</v>
      </c>
    </row>
    <row r="162" spans="1:5" ht="18">
      <c r="A162" s="170"/>
      <c r="B162" s="169"/>
      <c r="C162" s="170"/>
      <c r="D162" s="169"/>
      <c r="E162" s="40">
        <f t="shared" si="4"/>
        <v>0</v>
      </c>
    </row>
    <row r="163" spans="1:5" ht="18">
      <c r="A163" s="170"/>
      <c r="B163" s="169"/>
      <c r="C163" s="170"/>
      <c r="D163" s="169"/>
      <c r="E163" s="40">
        <f t="shared" si="4"/>
        <v>0</v>
      </c>
    </row>
    <row r="164" spans="1:5" ht="18">
      <c r="A164" s="170"/>
      <c r="B164" s="169"/>
      <c r="C164" s="170"/>
      <c r="D164" s="169"/>
      <c r="E164" s="40">
        <f t="shared" si="4"/>
        <v>0</v>
      </c>
    </row>
    <row r="165" spans="1:5" ht="18">
      <c r="A165" s="170"/>
      <c r="B165" s="169"/>
      <c r="C165" s="170"/>
      <c r="D165" s="169"/>
      <c r="E165" s="40">
        <f t="shared" si="4"/>
        <v>0</v>
      </c>
    </row>
    <row r="166" spans="1:5" ht="18">
      <c r="A166" s="170"/>
      <c r="B166" s="169"/>
      <c r="C166" s="170"/>
      <c r="D166" s="169"/>
      <c r="E166" s="40">
        <f t="shared" si="4"/>
        <v>0</v>
      </c>
    </row>
    <row r="167" spans="1:5" ht="18">
      <c r="A167" s="170"/>
      <c r="B167" s="169"/>
      <c r="C167" s="170"/>
      <c r="D167" s="169"/>
      <c r="E167" s="40">
        <f t="shared" si="4"/>
        <v>0</v>
      </c>
    </row>
    <row r="168" spans="1:5" ht="18">
      <c r="A168" s="170"/>
      <c r="B168" s="169"/>
      <c r="C168" s="170"/>
      <c r="D168" s="169"/>
      <c r="E168" s="40">
        <f t="shared" si="4"/>
        <v>0</v>
      </c>
    </row>
    <row r="169" spans="1:5" ht="18">
      <c r="A169" s="170"/>
      <c r="B169" s="169"/>
      <c r="C169" s="170"/>
      <c r="D169" s="169"/>
      <c r="E169" s="40">
        <f t="shared" ref="E169:E190" si="5">IF(A169=C169,B169+D169,D169)</f>
        <v>0</v>
      </c>
    </row>
    <row r="170" spans="1:5" ht="18">
      <c r="A170" s="170"/>
      <c r="B170" s="169"/>
      <c r="C170" s="170"/>
      <c r="D170" s="169"/>
      <c r="E170" s="40">
        <f t="shared" si="5"/>
        <v>0</v>
      </c>
    </row>
    <row r="171" spans="1:5">
      <c r="E171" s="40">
        <f t="shared" si="5"/>
        <v>0</v>
      </c>
    </row>
    <row r="172" spans="1:5">
      <c r="E172" s="40">
        <f t="shared" si="5"/>
        <v>0</v>
      </c>
    </row>
    <row r="173" spans="1:5">
      <c r="E173" s="40">
        <f t="shared" si="5"/>
        <v>0</v>
      </c>
    </row>
    <row r="174" spans="1:5">
      <c r="E174" s="40">
        <f t="shared" si="5"/>
        <v>0</v>
      </c>
    </row>
    <row r="175" spans="1:5">
      <c r="E175" s="40">
        <f t="shared" si="5"/>
        <v>0</v>
      </c>
    </row>
    <row r="176" spans="1:5">
      <c r="E176" s="40">
        <f t="shared" si="5"/>
        <v>0</v>
      </c>
    </row>
    <row r="177" spans="5:5">
      <c r="E177" s="40">
        <f t="shared" si="5"/>
        <v>0</v>
      </c>
    </row>
    <row r="178" spans="5:5">
      <c r="E178" s="40">
        <f t="shared" si="5"/>
        <v>0</v>
      </c>
    </row>
    <row r="179" spans="5:5">
      <c r="E179" s="40">
        <f t="shared" si="5"/>
        <v>0</v>
      </c>
    </row>
    <row r="180" spans="5:5">
      <c r="E180" s="40">
        <f t="shared" si="5"/>
        <v>0</v>
      </c>
    </row>
    <row r="181" spans="5:5">
      <c r="E181" s="40">
        <f t="shared" si="5"/>
        <v>0</v>
      </c>
    </row>
    <row r="182" spans="5:5">
      <c r="E182" s="40">
        <f t="shared" si="5"/>
        <v>0</v>
      </c>
    </row>
    <row r="183" spans="5:5">
      <c r="E183" s="40">
        <f t="shared" si="5"/>
        <v>0</v>
      </c>
    </row>
    <row r="184" spans="5:5">
      <c r="E184" s="40">
        <f t="shared" si="5"/>
        <v>0</v>
      </c>
    </row>
    <row r="185" spans="5:5">
      <c r="E185" s="40">
        <f t="shared" si="5"/>
        <v>0</v>
      </c>
    </row>
    <row r="186" spans="5:5">
      <c r="E186" s="40">
        <f t="shared" si="5"/>
        <v>0</v>
      </c>
    </row>
    <row r="187" spans="5:5">
      <c r="E187" s="40">
        <f t="shared" si="5"/>
        <v>0</v>
      </c>
    </row>
    <row r="188" spans="5:5">
      <c r="E188" s="40">
        <f t="shared" si="5"/>
        <v>0</v>
      </c>
    </row>
    <row r="189" spans="5:5">
      <c r="E189" s="40">
        <f t="shared" si="5"/>
        <v>0</v>
      </c>
    </row>
    <row r="190" spans="5:5">
      <c r="E190" s="40">
        <f t="shared" si="5"/>
        <v>0</v>
      </c>
    </row>
  </sheetData>
  <mergeCells count="12">
    <mergeCell ref="G104:J104"/>
    <mergeCell ref="AB104:AE104"/>
    <mergeCell ref="G112:J112"/>
    <mergeCell ref="AB112:AE112"/>
    <mergeCell ref="G120:H120"/>
    <mergeCell ref="AB120:AC120"/>
    <mergeCell ref="G3:J3"/>
    <mergeCell ref="AB3:AE3"/>
    <mergeCell ref="G11:J11"/>
    <mergeCell ref="AB11:AE11"/>
    <mergeCell ref="G19:H19"/>
    <mergeCell ref="AB19:AC19"/>
  </mergeCells>
  <conditionalFormatting sqref="D105:D170">
    <cfRule type="top10" dxfId="17" priority="9" rank="5"/>
  </conditionalFormatting>
  <conditionalFormatting sqref="D105:D170">
    <cfRule type="top10" dxfId="16" priority="8" percent="1" rank="5"/>
  </conditionalFormatting>
  <conditionalFormatting sqref="D4:D100 C71:C100">
    <cfRule type="top10" dxfId="15" priority="7" rank="5"/>
  </conditionalFormatting>
  <conditionalFormatting sqref="D4:D100">
    <cfRule type="top10" dxfId="14" priority="6" rank="5"/>
  </conditionalFormatting>
  <conditionalFormatting sqref="D4:D100 C71:C100">
    <cfRule type="top10" dxfId="13" priority="5" percent="1" rank="5"/>
  </conditionalFormatting>
  <conditionalFormatting sqref="B4:B70">
    <cfRule type="top10" dxfId="12" priority="4" rank="5"/>
  </conditionalFormatting>
  <conditionalFormatting sqref="B4:B70">
    <cfRule type="top10" dxfId="11" priority="3" percent="1" rank="5"/>
  </conditionalFormatting>
  <conditionalFormatting sqref="B105:B170">
    <cfRule type="top10" dxfId="10" priority="2" rank="5"/>
  </conditionalFormatting>
  <conditionalFormatting sqref="B105:B170">
    <cfRule type="top10" dxfId="9" priority="1" percent="1" rank="5"/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3F63-EC6D-46CE-B6FA-718389036EFA}">
  <sheetPr codeName="Sheet10">
    <tabColor rgb="FF008000"/>
  </sheetPr>
  <dimension ref="A1:AE190"/>
  <sheetViews>
    <sheetView zoomScale="75" zoomScaleNormal="75" workbookViewId="0">
      <selection activeCell="G112" sqref="G112:J112"/>
    </sheetView>
  </sheetViews>
  <sheetFormatPr baseColWidth="10" defaultColWidth="9.109375" defaultRowHeight="14.4"/>
  <cols>
    <col min="1" max="1" width="17.109375" style="3" customWidth="1"/>
    <col min="2" max="2" width="17.33203125" style="168" customWidth="1"/>
    <col min="3" max="3" width="17.33203125" style="3" customWidth="1"/>
    <col min="4" max="5" width="17" style="3" customWidth="1"/>
    <col min="6" max="6" width="9.109375" style="163"/>
    <col min="7" max="7" width="18.33203125" style="163" bestFit="1" customWidth="1"/>
    <col min="8" max="8" width="13.5546875" style="163" customWidth="1"/>
    <col min="9" max="9" width="11.109375" style="163" customWidth="1"/>
    <col min="10" max="10" width="9.109375" style="163" customWidth="1"/>
    <col min="11" max="11" width="9.109375" style="163" hidden="1" customWidth="1"/>
    <col min="12" max="26" width="9.109375" style="163"/>
    <col min="27" max="27" width="107.88671875" style="163" customWidth="1"/>
    <col min="28" max="16384" width="9.109375" style="163"/>
  </cols>
  <sheetData>
    <row r="1" spans="1:31" s="155" customFormat="1" ht="28.8">
      <c r="A1" s="180" t="s">
        <v>25</v>
      </c>
      <c r="B1" s="181"/>
      <c r="C1" s="180"/>
      <c r="D1" s="180"/>
      <c r="E1" s="180"/>
    </row>
    <row r="2" spans="1:31" ht="18.600000000000001" thickBot="1">
      <c r="B2" s="182"/>
    </row>
    <row r="3" spans="1:31" ht="15" thickBot="1">
      <c r="A3" s="71" t="s">
        <v>37</v>
      </c>
      <c r="B3" s="67" t="s">
        <v>9</v>
      </c>
      <c r="C3" s="67" t="s">
        <v>37</v>
      </c>
      <c r="D3" s="67" t="s">
        <v>10</v>
      </c>
      <c r="E3" s="67" t="s">
        <v>8</v>
      </c>
      <c r="G3" s="217" t="s">
        <v>9</v>
      </c>
      <c r="H3" s="218"/>
      <c r="I3" s="218"/>
      <c r="J3" s="219"/>
      <c r="AB3" s="217" t="s">
        <v>9</v>
      </c>
      <c r="AC3" s="218"/>
      <c r="AD3" s="218"/>
      <c r="AE3" s="219"/>
    </row>
    <row r="4" spans="1:31" ht="18.600000000000001" thickBot="1">
      <c r="A4" s="170"/>
      <c r="B4" s="169"/>
      <c r="C4" s="170"/>
      <c r="D4" s="169"/>
      <c r="E4" s="40">
        <f t="shared" ref="E4:E35" si="0">IF(A4=C4,B4+D4,D4)</f>
        <v>0</v>
      </c>
      <c r="G4" s="136" t="s">
        <v>5</v>
      </c>
      <c r="H4" s="179" t="s">
        <v>6</v>
      </c>
      <c r="I4" s="178" t="s">
        <v>38</v>
      </c>
      <c r="J4" s="177" t="s">
        <v>39</v>
      </c>
      <c r="AB4" s="136" t="s">
        <v>5</v>
      </c>
      <c r="AC4" s="179" t="s">
        <v>6</v>
      </c>
      <c r="AD4" s="178" t="s">
        <v>38</v>
      </c>
      <c r="AE4" s="177" t="s">
        <v>39</v>
      </c>
    </row>
    <row r="5" spans="1:31" ht="18">
      <c r="A5" s="170"/>
      <c r="B5" s="169"/>
      <c r="C5" s="170"/>
      <c r="D5" s="169"/>
      <c r="E5" s="40">
        <f t="shared" si="0"/>
        <v>0</v>
      </c>
      <c r="G5" s="157"/>
      <c r="H5" s="46"/>
      <c r="I5" s="176"/>
      <c r="J5" s="175"/>
      <c r="K5" s="163" t="str">
        <f>CONCATENATE(H5,"/ ",I5)</f>
        <v xml:space="preserve">/ </v>
      </c>
      <c r="AB5" s="157"/>
      <c r="AC5" s="46"/>
      <c r="AD5" s="176"/>
      <c r="AE5" s="175"/>
    </row>
    <row r="6" spans="1:31" ht="18">
      <c r="A6" s="170"/>
      <c r="B6" s="169"/>
      <c r="C6" s="170"/>
      <c r="D6" s="169"/>
      <c r="E6" s="40">
        <f t="shared" si="0"/>
        <v>0</v>
      </c>
      <c r="G6" s="18"/>
      <c r="H6" s="19"/>
      <c r="I6" s="174"/>
      <c r="J6" s="173"/>
      <c r="K6" s="163" t="str">
        <f>CONCATENATE(H6,"/ ",I6)</f>
        <v xml:space="preserve">/ </v>
      </c>
      <c r="AB6" s="18"/>
      <c r="AC6" s="19"/>
      <c r="AD6" s="174"/>
      <c r="AE6" s="173"/>
    </row>
    <row r="7" spans="1:31" ht="18">
      <c r="A7" s="170"/>
      <c r="B7" s="169"/>
      <c r="C7" s="170"/>
      <c r="D7" s="169"/>
      <c r="E7" s="40">
        <f t="shared" si="0"/>
        <v>0</v>
      </c>
      <c r="G7" s="18"/>
      <c r="H7" s="19"/>
      <c r="I7" s="174"/>
      <c r="J7" s="173"/>
      <c r="K7" s="163" t="str">
        <f>CONCATENATE(H7,"/ ",I7)</f>
        <v xml:space="preserve">/ </v>
      </c>
      <c r="AB7" s="18"/>
      <c r="AC7" s="19"/>
      <c r="AD7" s="174"/>
      <c r="AE7" s="173"/>
    </row>
    <row r="8" spans="1:31" ht="18">
      <c r="A8" s="170"/>
      <c r="B8" s="169"/>
      <c r="C8" s="170"/>
      <c r="D8" s="169"/>
      <c r="E8" s="40">
        <f t="shared" si="0"/>
        <v>0</v>
      </c>
      <c r="G8" s="18"/>
      <c r="H8" s="19"/>
      <c r="I8" s="174"/>
      <c r="J8" s="173"/>
      <c r="K8" s="163" t="str">
        <f>CONCATENATE(H8,"/ ",I8)</f>
        <v xml:space="preserve">/ </v>
      </c>
      <c r="AB8" s="18"/>
      <c r="AC8" s="19"/>
      <c r="AD8" s="174"/>
      <c r="AE8" s="173"/>
    </row>
    <row r="9" spans="1:31" ht="18.600000000000001" thickBot="1">
      <c r="A9" s="170"/>
      <c r="B9" s="169"/>
      <c r="C9" s="170"/>
      <c r="D9" s="169"/>
      <c r="E9" s="40">
        <f t="shared" si="0"/>
        <v>0</v>
      </c>
      <c r="G9" s="17"/>
      <c r="H9" s="44"/>
      <c r="I9" s="172"/>
      <c r="J9" s="171"/>
      <c r="K9" s="163" t="str">
        <f>CONCATENATE(H9,"/ ",I9)</f>
        <v xml:space="preserve">/ </v>
      </c>
      <c r="AB9" s="17"/>
      <c r="AC9" s="44"/>
      <c r="AD9" s="172"/>
      <c r="AE9" s="171"/>
    </row>
    <row r="10" spans="1:31" ht="18.600000000000001" thickBot="1">
      <c r="A10" s="170"/>
      <c r="B10" s="169"/>
      <c r="C10" s="170"/>
      <c r="D10" s="169"/>
      <c r="E10" s="40">
        <f t="shared" si="0"/>
        <v>0</v>
      </c>
      <c r="I10" s="163" t="s">
        <v>8</v>
      </c>
      <c r="J10" s="156">
        <f>SUM(B4:B70)</f>
        <v>0</v>
      </c>
      <c r="AD10" s="163" t="s">
        <v>8</v>
      </c>
      <c r="AE10" s="156">
        <f>SUM(W4:W70)</f>
        <v>0</v>
      </c>
    </row>
    <row r="11" spans="1:31" ht="18.600000000000001" thickBot="1">
      <c r="A11" s="170"/>
      <c r="B11" s="169"/>
      <c r="C11" s="170"/>
      <c r="D11" s="169"/>
      <c r="E11" s="40">
        <f t="shared" si="0"/>
        <v>0</v>
      </c>
      <c r="G11" s="211" t="s">
        <v>10</v>
      </c>
      <c r="H11" s="212"/>
      <c r="I11" s="212"/>
      <c r="J11" s="213"/>
      <c r="AB11" s="211" t="s">
        <v>10</v>
      </c>
      <c r="AC11" s="212"/>
      <c r="AD11" s="212"/>
      <c r="AE11" s="213"/>
    </row>
    <row r="12" spans="1:31" ht="18.600000000000001" thickBot="1">
      <c r="A12" s="170"/>
      <c r="B12" s="169"/>
      <c r="C12" s="170"/>
      <c r="D12" s="169"/>
      <c r="E12" s="40">
        <f t="shared" si="0"/>
        <v>0</v>
      </c>
      <c r="G12" s="136" t="s">
        <v>5</v>
      </c>
      <c r="H12" s="179" t="s">
        <v>6</v>
      </c>
      <c r="I12" s="178" t="s">
        <v>38</v>
      </c>
      <c r="J12" s="177" t="s">
        <v>39</v>
      </c>
      <c r="AB12" s="136" t="s">
        <v>5</v>
      </c>
      <c r="AC12" s="179" t="s">
        <v>6</v>
      </c>
      <c r="AD12" s="178" t="s">
        <v>38</v>
      </c>
      <c r="AE12" s="177" t="s">
        <v>39</v>
      </c>
    </row>
    <row r="13" spans="1:31" ht="18">
      <c r="A13" s="170"/>
      <c r="B13" s="169"/>
      <c r="C13" s="170"/>
      <c r="D13" s="169"/>
      <c r="E13" s="40">
        <f t="shared" si="0"/>
        <v>0</v>
      </c>
      <c r="G13" s="157"/>
      <c r="H13" s="46"/>
      <c r="I13" s="176"/>
      <c r="J13" s="175"/>
      <c r="K13" s="163" t="str">
        <f>CONCATENATE(H13,"/ ",I13)</f>
        <v xml:space="preserve">/ </v>
      </c>
      <c r="AB13" s="157"/>
      <c r="AC13" s="46"/>
      <c r="AD13" s="176"/>
      <c r="AE13" s="175"/>
    </row>
    <row r="14" spans="1:31" ht="18">
      <c r="A14" s="170"/>
      <c r="B14" s="169"/>
      <c r="C14" s="170"/>
      <c r="D14" s="169"/>
      <c r="E14" s="40">
        <f t="shared" si="0"/>
        <v>0</v>
      </c>
      <c r="G14" s="18"/>
      <c r="H14" s="19"/>
      <c r="I14" s="174"/>
      <c r="J14" s="173"/>
      <c r="K14" s="163" t="str">
        <f>CONCATENATE(H14,"/ ",I14)</f>
        <v xml:space="preserve">/ </v>
      </c>
      <c r="AB14" s="18"/>
      <c r="AC14" s="19"/>
      <c r="AD14" s="174"/>
      <c r="AE14" s="173"/>
    </row>
    <row r="15" spans="1:31" ht="18">
      <c r="A15" s="170"/>
      <c r="B15" s="169"/>
      <c r="C15" s="170"/>
      <c r="D15" s="169"/>
      <c r="E15" s="40">
        <f t="shared" si="0"/>
        <v>0</v>
      </c>
      <c r="G15" s="18"/>
      <c r="H15" s="19"/>
      <c r="I15" s="174"/>
      <c r="J15" s="173"/>
      <c r="K15" s="163" t="str">
        <f>CONCATENATE(H15,"/ ",I15)</f>
        <v xml:space="preserve">/ </v>
      </c>
      <c r="AB15" s="18"/>
      <c r="AC15" s="19"/>
      <c r="AD15" s="174"/>
      <c r="AE15" s="173"/>
    </row>
    <row r="16" spans="1:31" ht="18">
      <c r="A16" s="170"/>
      <c r="B16" s="169"/>
      <c r="C16" s="170"/>
      <c r="D16" s="169"/>
      <c r="E16" s="40">
        <f t="shared" si="0"/>
        <v>0</v>
      </c>
      <c r="G16" s="18"/>
      <c r="H16" s="19"/>
      <c r="I16" s="174"/>
      <c r="J16" s="173"/>
      <c r="K16" s="163" t="str">
        <f>CONCATENATE(H16,"/ ",I16)</f>
        <v xml:space="preserve">/ </v>
      </c>
      <c r="AB16" s="18"/>
      <c r="AC16" s="19"/>
      <c r="AD16" s="174"/>
      <c r="AE16" s="173"/>
    </row>
    <row r="17" spans="1:31" ht="18.600000000000001" thickBot="1">
      <c r="A17" s="170"/>
      <c r="B17" s="169"/>
      <c r="C17" s="170"/>
      <c r="D17" s="169"/>
      <c r="E17" s="40">
        <f t="shared" si="0"/>
        <v>0</v>
      </c>
      <c r="G17" s="17"/>
      <c r="H17" s="44"/>
      <c r="I17" s="172"/>
      <c r="J17" s="171"/>
      <c r="K17" s="163" t="str">
        <f>CONCATENATE(H17,"/ ",I17)</f>
        <v xml:space="preserve">/ </v>
      </c>
      <c r="AB17" s="17"/>
      <c r="AC17" s="44"/>
      <c r="AD17" s="172"/>
      <c r="AE17" s="171"/>
    </row>
    <row r="18" spans="1:31" ht="18.600000000000001" thickBot="1">
      <c r="A18" s="170"/>
      <c r="B18" s="169"/>
      <c r="C18" s="170"/>
      <c r="D18" s="169"/>
      <c r="E18" s="40">
        <f t="shared" si="0"/>
        <v>0</v>
      </c>
      <c r="I18" s="163" t="s">
        <v>8</v>
      </c>
      <c r="J18" s="156">
        <f>SUM(D4:D70)</f>
        <v>0</v>
      </c>
      <c r="AD18" s="163" t="s">
        <v>8</v>
      </c>
      <c r="AE18" s="156">
        <f>SUM(Y4:Y70)</f>
        <v>0</v>
      </c>
    </row>
    <row r="19" spans="1:31" ht="18.600000000000001" thickBot="1">
      <c r="A19" s="170"/>
      <c r="B19" s="169"/>
      <c r="C19" s="170"/>
      <c r="D19" s="169"/>
      <c r="E19" s="40">
        <f t="shared" si="0"/>
        <v>0</v>
      </c>
      <c r="G19" s="220" t="s">
        <v>8</v>
      </c>
      <c r="H19" s="221"/>
      <c r="I19" s="178" t="s">
        <v>38</v>
      </c>
      <c r="J19" s="177" t="s">
        <v>39</v>
      </c>
      <c r="AB19" s="220" t="s">
        <v>8</v>
      </c>
      <c r="AC19" s="221"/>
      <c r="AD19" s="178" t="s">
        <v>38</v>
      </c>
      <c r="AE19" s="177" t="s">
        <v>39</v>
      </c>
    </row>
    <row r="20" spans="1:31" ht="18">
      <c r="A20" s="170"/>
      <c r="B20" s="169"/>
      <c r="C20" s="170"/>
      <c r="D20" s="169"/>
      <c r="E20" s="40">
        <f t="shared" si="0"/>
        <v>0</v>
      </c>
      <c r="G20" s="157"/>
      <c r="H20" s="46"/>
      <c r="I20" s="176"/>
      <c r="J20" s="175"/>
      <c r="K20" s="163" t="str">
        <f>CONCATENATE(H20,"/ ",I20)</f>
        <v xml:space="preserve">/ </v>
      </c>
      <c r="AB20" s="157"/>
      <c r="AC20" s="46"/>
      <c r="AD20" s="176"/>
      <c r="AE20" s="175"/>
    </row>
    <row r="21" spans="1:31" ht="18">
      <c r="A21" s="170"/>
      <c r="B21" s="169"/>
      <c r="C21" s="170"/>
      <c r="D21" s="169"/>
      <c r="E21" s="40">
        <f t="shared" si="0"/>
        <v>0</v>
      </c>
      <c r="G21" s="18"/>
      <c r="H21" s="19"/>
      <c r="I21" s="174"/>
      <c r="J21" s="173"/>
      <c r="K21" s="163" t="str">
        <f>CONCATENATE(H21,"/ ",I21)</f>
        <v xml:space="preserve">/ </v>
      </c>
      <c r="AB21" s="18"/>
      <c r="AC21" s="19"/>
      <c r="AD21" s="174"/>
      <c r="AE21" s="173"/>
    </row>
    <row r="22" spans="1:31" ht="18">
      <c r="A22" s="170"/>
      <c r="B22" s="169"/>
      <c r="C22" s="170"/>
      <c r="D22" s="169"/>
      <c r="E22" s="40">
        <f t="shared" si="0"/>
        <v>0</v>
      </c>
      <c r="G22" s="18"/>
      <c r="H22" s="19"/>
      <c r="I22" s="174"/>
      <c r="J22" s="173"/>
      <c r="K22" s="163" t="str">
        <f>CONCATENATE(H22,"/ ",I22)</f>
        <v xml:space="preserve">/ </v>
      </c>
      <c r="AB22" s="18"/>
      <c r="AC22" s="19"/>
      <c r="AD22" s="174"/>
      <c r="AE22" s="173"/>
    </row>
    <row r="23" spans="1:31" ht="18">
      <c r="A23" s="170"/>
      <c r="B23" s="169"/>
      <c r="C23" s="170"/>
      <c r="D23" s="169"/>
      <c r="E23" s="40">
        <f t="shared" si="0"/>
        <v>0</v>
      </c>
      <c r="G23" s="18"/>
      <c r="H23" s="19"/>
      <c r="I23" s="174"/>
      <c r="J23" s="173"/>
      <c r="K23" s="163" t="str">
        <f>CONCATENATE(H23,"/ ",I23)</f>
        <v xml:space="preserve">/ </v>
      </c>
      <c r="AB23" s="18"/>
      <c r="AC23" s="19"/>
      <c r="AD23" s="174"/>
      <c r="AE23" s="173"/>
    </row>
    <row r="24" spans="1:31" ht="18.600000000000001" thickBot="1">
      <c r="A24" s="170"/>
      <c r="B24" s="169"/>
      <c r="C24" s="170"/>
      <c r="D24" s="169"/>
      <c r="E24" s="40">
        <f t="shared" si="0"/>
        <v>0</v>
      </c>
      <c r="G24" s="17"/>
      <c r="H24" s="44"/>
      <c r="I24" s="172"/>
      <c r="J24" s="171"/>
      <c r="K24" s="163" t="str">
        <f>CONCATENATE(H24,"/ ",I24)</f>
        <v xml:space="preserve">/ </v>
      </c>
      <c r="AB24" s="17"/>
      <c r="AC24" s="44"/>
      <c r="AD24" s="172"/>
      <c r="AE24" s="171"/>
    </row>
    <row r="25" spans="1:31" ht="18">
      <c r="A25" s="170"/>
      <c r="B25" s="169"/>
      <c r="C25" s="170"/>
      <c r="D25" s="169"/>
      <c r="E25" s="40">
        <f t="shared" si="0"/>
        <v>0</v>
      </c>
      <c r="I25" s="163" t="s">
        <v>8</v>
      </c>
      <c r="J25" s="156">
        <f>J10+J18</f>
        <v>0</v>
      </c>
    </row>
    <row r="26" spans="1:31" ht="18">
      <c r="A26" s="170"/>
      <c r="B26" s="169"/>
      <c r="C26" s="170"/>
      <c r="D26" s="169"/>
      <c r="E26" s="40">
        <f t="shared" si="0"/>
        <v>0</v>
      </c>
    </row>
    <row r="27" spans="1:31" ht="18">
      <c r="A27" s="170"/>
      <c r="B27" s="169"/>
      <c r="C27" s="170"/>
      <c r="D27" s="169"/>
      <c r="E27" s="40">
        <f t="shared" si="0"/>
        <v>0</v>
      </c>
    </row>
    <row r="28" spans="1:31" ht="18">
      <c r="A28" s="170"/>
      <c r="B28" s="169"/>
      <c r="C28" s="170"/>
      <c r="D28" s="169"/>
      <c r="E28" s="40">
        <f t="shared" si="0"/>
        <v>0</v>
      </c>
    </row>
    <row r="29" spans="1:31" ht="18">
      <c r="A29" s="170"/>
      <c r="B29" s="169"/>
      <c r="C29" s="170"/>
      <c r="D29" s="169"/>
      <c r="E29" s="40">
        <f t="shared" si="0"/>
        <v>0</v>
      </c>
    </row>
    <row r="30" spans="1:31" ht="18">
      <c r="A30" s="170"/>
      <c r="B30" s="169"/>
      <c r="C30" s="170"/>
      <c r="D30" s="169"/>
      <c r="E30" s="40">
        <f t="shared" si="0"/>
        <v>0</v>
      </c>
    </row>
    <row r="31" spans="1:31" ht="18">
      <c r="A31" s="170"/>
      <c r="B31" s="169"/>
      <c r="C31" s="170"/>
      <c r="D31" s="169"/>
      <c r="E31" s="40">
        <f t="shared" si="0"/>
        <v>0</v>
      </c>
    </row>
    <row r="32" spans="1:31" ht="18">
      <c r="A32" s="170"/>
      <c r="B32" s="169"/>
      <c r="C32" s="170"/>
      <c r="D32" s="169"/>
      <c r="E32" s="40">
        <f t="shared" si="0"/>
        <v>0</v>
      </c>
      <c r="I32" s="154"/>
    </row>
    <row r="33" spans="1:5" ht="18">
      <c r="A33" s="170"/>
      <c r="B33" s="169"/>
      <c r="C33" s="170"/>
      <c r="D33" s="169"/>
      <c r="E33" s="40">
        <f t="shared" si="0"/>
        <v>0</v>
      </c>
    </row>
    <row r="34" spans="1:5" ht="18">
      <c r="A34" s="170"/>
      <c r="B34" s="169"/>
      <c r="C34" s="170"/>
      <c r="D34" s="169"/>
      <c r="E34" s="40">
        <f t="shared" si="0"/>
        <v>0</v>
      </c>
    </row>
    <row r="35" spans="1:5" ht="18">
      <c r="A35" s="170"/>
      <c r="B35" s="169"/>
      <c r="C35" s="170"/>
      <c r="D35" s="169"/>
      <c r="E35" s="40">
        <f t="shared" si="0"/>
        <v>0</v>
      </c>
    </row>
    <row r="36" spans="1:5" ht="18">
      <c r="A36" s="170"/>
      <c r="B36" s="169"/>
      <c r="C36" s="170"/>
      <c r="D36" s="169"/>
      <c r="E36" s="40">
        <f t="shared" ref="E36:E67" si="1">IF(A36=C36,B36+D36,D36)</f>
        <v>0</v>
      </c>
    </row>
    <row r="37" spans="1:5" ht="18">
      <c r="A37" s="170"/>
      <c r="B37" s="169"/>
      <c r="C37" s="170"/>
      <c r="D37" s="169"/>
      <c r="E37" s="40">
        <f t="shared" si="1"/>
        <v>0</v>
      </c>
    </row>
    <row r="38" spans="1:5" ht="18">
      <c r="A38" s="170"/>
      <c r="B38" s="169"/>
      <c r="C38" s="170"/>
      <c r="D38" s="169"/>
      <c r="E38" s="40">
        <f t="shared" si="1"/>
        <v>0</v>
      </c>
    </row>
    <row r="39" spans="1:5" ht="18">
      <c r="A39" s="170"/>
      <c r="B39" s="169"/>
      <c r="C39" s="170"/>
      <c r="D39" s="169"/>
      <c r="E39" s="40">
        <f t="shared" si="1"/>
        <v>0</v>
      </c>
    </row>
    <row r="40" spans="1:5" ht="18">
      <c r="A40" s="170"/>
      <c r="B40" s="169"/>
      <c r="C40" s="170"/>
      <c r="D40" s="169"/>
      <c r="E40" s="40">
        <f t="shared" si="1"/>
        <v>0</v>
      </c>
    </row>
    <row r="41" spans="1:5" ht="18">
      <c r="A41" s="170"/>
      <c r="B41" s="169"/>
      <c r="C41" s="170"/>
      <c r="D41" s="169"/>
      <c r="E41" s="40">
        <f t="shared" si="1"/>
        <v>0</v>
      </c>
    </row>
    <row r="42" spans="1:5" ht="18">
      <c r="A42" s="170"/>
      <c r="B42" s="169"/>
      <c r="C42" s="170"/>
      <c r="D42" s="169"/>
      <c r="E42" s="40">
        <f t="shared" si="1"/>
        <v>0</v>
      </c>
    </row>
    <row r="43" spans="1:5" ht="18">
      <c r="A43" s="170"/>
      <c r="B43" s="169"/>
      <c r="C43" s="170"/>
      <c r="D43" s="169"/>
      <c r="E43" s="40">
        <f t="shared" si="1"/>
        <v>0</v>
      </c>
    </row>
    <row r="44" spans="1:5" ht="18">
      <c r="A44" s="170"/>
      <c r="B44" s="169"/>
      <c r="C44" s="170"/>
      <c r="D44" s="169"/>
      <c r="E44" s="40">
        <f t="shared" si="1"/>
        <v>0</v>
      </c>
    </row>
    <row r="45" spans="1:5" ht="18">
      <c r="A45" s="170"/>
      <c r="B45" s="169"/>
      <c r="C45" s="170"/>
      <c r="D45" s="169"/>
      <c r="E45" s="40">
        <f t="shared" si="1"/>
        <v>0</v>
      </c>
    </row>
    <row r="46" spans="1:5" ht="18">
      <c r="A46" s="170"/>
      <c r="B46" s="169"/>
      <c r="C46" s="170"/>
      <c r="D46" s="169"/>
      <c r="E46" s="40">
        <f t="shared" si="1"/>
        <v>0</v>
      </c>
    </row>
    <row r="47" spans="1:5" ht="18">
      <c r="A47" s="170"/>
      <c r="B47" s="169"/>
      <c r="C47" s="170"/>
      <c r="D47" s="169"/>
      <c r="E47" s="40">
        <f t="shared" si="1"/>
        <v>0</v>
      </c>
    </row>
    <row r="48" spans="1:5" ht="18">
      <c r="A48" s="170"/>
      <c r="B48" s="169"/>
      <c r="C48" s="170"/>
      <c r="D48" s="169"/>
      <c r="E48" s="40">
        <f t="shared" si="1"/>
        <v>0</v>
      </c>
    </row>
    <row r="49" spans="1:5" ht="18">
      <c r="A49" s="170"/>
      <c r="B49" s="169"/>
      <c r="C49" s="170"/>
      <c r="D49" s="169"/>
      <c r="E49" s="40">
        <f t="shared" si="1"/>
        <v>0</v>
      </c>
    </row>
    <row r="50" spans="1:5" ht="18">
      <c r="A50" s="170"/>
      <c r="B50" s="169"/>
      <c r="C50" s="170"/>
      <c r="D50" s="169"/>
      <c r="E50" s="40">
        <f t="shared" si="1"/>
        <v>0</v>
      </c>
    </row>
    <row r="51" spans="1:5" ht="18">
      <c r="A51" s="170"/>
      <c r="B51" s="169"/>
      <c r="C51" s="170"/>
      <c r="D51" s="169"/>
      <c r="E51" s="40">
        <f t="shared" si="1"/>
        <v>0</v>
      </c>
    </row>
    <row r="52" spans="1:5" ht="18">
      <c r="A52" s="170"/>
      <c r="B52" s="169"/>
      <c r="C52" s="170"/>
      <c r="D52" s="169"/>
      <c r="E52" s="40">
        <f t="shared" si="1"/>
        <v>0</v>
      </c>
    </row>
    <row r="53" spans="1:5" ht="18">
      <c r="A53" s="170"/>
      <c r="B53" s="169"/>
      <c r="C53" s="170"/>
      <c r="D53" s="169"/>
      <c r="E53" s="40">
        <f t="shared" si="1"/>
        <v>0</v>
      </c>
    </row>
    <row r="54" spans="1:5" ht="18">
      <c r="A54" s="170"/>
      <c r="B54" s="169"/>
      <c r="C54" s="170"/>
      <c r="D54" s="169"/>
      <c r="E54" s="40">
        <f t="shared" si="1"/>
        <v>0</v>
      </c>
    </row>
    <row r="55" spans="1:5" ht="18">
      <c r="A55" s="170"/>
      <c r="B55" s="169"/>
      <c r="C55" s="170"/>
      <c r="D55" s="169"/>
      <c r="E55" s="40">
        <f t="shared" si="1"/>
        <v>0</v>
      </c>
    </row>
    <row r="56" spans="1:5" ht="18">
      <c r="A56" s="170"/>
      <c r="B56" s="169"/>
      <c r="C56" s="170"/>
      <c r="D56" s="169"/>
      <c r="E56" s="40">
        <f t="shared" si="1"/>
        <v>0</v>
      </c>
    </row>
    <row r="57" spans="1:5" ht="18">
      <c r="A57" s="170"/>
      <c r="B57" s="169"/>
      <c r="C57" s="170"/>
      <c r="D57" s="169"/>
      <c r="E57" s="40">
        <f t="shared" si="1"/>
        <v>0</v>
      </c>
    </row>
    <row r="58" spans="1:5" ht="18">
      <c r="A58" s="170"/>
      <c r="B58" s="169"/>
      <c r="C58" s="170"/>
      <c r="D58" s="169"/>
      <c r="E58" s="40">
        <f t="shared" si="1"/>
        <v>0</v>
      </c>
    </row>
    <row r="59" spans="1:5" ht="18">
      <c r="A59" s="170"/>
      <c r="B59" s="169"/>
      <c r="C59" s="170"/>
      <c r="D59" s="169"/>
      <c r="E59" s="40">
        <f t="shared" si="1"/>
        <v>0</v>
      </c>
    </row>
    <row r="60" spans="1:5" ht="18">
      <c r="A60" s="170"/>
      <c r="B60" s="169"/>
      <c r="C60" s="170"/>
      <c r="D60" s="169"/>
      <c r="E60" s="40">
        <f t="shared" si="1"/>
        <v>0</v>
      </c>
    </row>
    <row r="61" spans="1:5" ht="18">
      <c r="A61" s="170"/>
      <c r="B61" s="169"/>
      <c r="C61" s="170"/>
      <c r="D61" s="169"/>
      <c r="E61" s="40">
        <f t="shared" si="1"/>
        <v>0</v>
      </c>
    </row>
    <row r="62" spans="1:5" ht="18">
      <c r="A62" s="170"/>
      <c r="B62" s="169"/>
      <c r="C62" s="170"/>
      <c r="D62" s="169"/>
      <c r="E62" s="40">
        <f t="shared" si="1"/>
        <v>0</v>
      </c>
    </row>
    <row r="63" spans="1:5" ht="18">
      <c r="A63" s="170"/>
      <c r="B63" s="169"/>
      <c r="C63" s="170"/>
      <c r="D63" s="169"/>
      <c r="E63" s="40">
        <f t="shared" si="1"/>
        <v>0</v>
      </c>
    </row>
    <row r="64" spans="1:5" ht="18">
      <c r="A64" s="170"/>
      <c r="B64" s="169"/>
      <c r="C64" s="170"/>
      <c r="D64" s="169"/>
      <c r="E64" s="40">
        <f t="shared" si="1"/>
        <v>0</v>
      </c>
    </row>
    <row r="65" spans="1:5" ht="18">
      <c r="A65" s="170"/>
      <c r="B65" s="169"/>
      <c r="C65" s="170"/>
      <c r="D65" s="169"/>
      <c r="E65" s="40">
        <f t="shared" si="1"/>
        <v>0</v>
      </c>
    </row>
    <row r="66" spans="1:5" ht="18">
      <c r="A66" s="170"/>
      <c r="B66" s="169"/>
      <c r="C66" s="170"/>
      <c r="D66" s="169"/>
      <c r="E66" s="40">
        <f t="shared" si="1"/>
        <v>0</v>
      </c>
    </row>
    <row r="67" spans="1:5" ht="18">
      <c r="A67" s="170"/>
      <c r="B67" s="169"/>
      <c r="C67" s="170"/>
      <c r="D67" s="169"/>
      <c r="E67" s="40">
        <f t="shared" si="1"/>
        <v>0</v>
      </c>
    </row>
    <row r="68" spans="1:5" ht="18">
      <c r="A68" s="170"/>
      <c r="B68" s="169"/>
      <c r="C68" s="170"/>
      <c r="D68" s="169"/>
      <c r="E68" s="40">
        <f t="shared" ref="E68:E70" si="2">IF(A68=C68,B68+D68,D68)</f>
        <v>0</v>
      </c>
    </row>
    <row r="69" spans="1:5" ht="18">
      <c r="A69" s="170"/>
      <c r="B69" s="169"/>
      <c r="C69" s="170"/>
      <c r="D69" s="169"/>
      <c r="E69" s="40">
        <f t="shared" si="2"/>
        <v>0</v>
      </c>
    </row>
    <row r="70" spans="1:5" ht="18">
      <c r="A70" s="170"/>
      <c r="B70" s="169"/>
      <c r="C70" s="170"/>
      <c r="D70" s="169"/>
      <c r="E70" s="40">
        <f t="shared" si="2"/>
        <v>0</v>
      </c>
    </row>
    <row r="71" spans="1:5" ht="18">
      <c r="B71" s="170"/>
      <c r="C71" s="169"/>
      <c r="D71" s="169"/>
      <c r="E71" s="40"/>
    </row>
    <row r="72" spans="1:5" ht="18">
      <c r="B72" s="170"/>
      <c r="C72" s="169"/>
      <c r="D72" s="169"/>
      <c r="E72" s="40"/>
    </row>
    <row r="73" spans="1:5" ht="18">
      <c r="B73" s="170"/>
      <c r="C73" s="169"/>
      <c r="D73" s="169"/>
      <c r="E73" s="40"/>
    </row>
    <row r="74" spans="1:5" ht="18">
      <c r="B74" s="170"/>
      <c r="C74" s="169"/>
      <c r="D74" s="169"/>
      <c r="E74" s="40"/>
    </row>
    <row r="75" spans="1:5" ht="18">
      <c r="B75" s="170"/>
      <c r="C75" s="169"/>
      <c r="D75" s="169"/>
      <c r="E75" s="40"/>
    </row>
    <row r="76" spans="1:5" ht="18">
      <c r="B76" s="170"/>
      <c r="C76" s="169"/>
      <c r="D76" s="169"/>
      <c r="E76" s="40"/>
    </row>
    <row r="77" spans="1:5" ht="18">
      <c r="B77" s="170"/>
      <c r="C77" s="169"/>
      <c r="D77" s="169"/>
      <c r="E77" s="40"/>
    </row>
    <row r="78" spans="1:5" ht="18">
      <c r="B78" s="170"/>
      <c r="C78" s="169"/>
      <c r="D78" s="169"/>
      <c r="E78" s="40"/>
    </row>
    <row r="79" spans="1:5" ht="18">
      <c r="B79" s="170"/>
      <c r="C79" s="169"/>
      <c r="D79" s="169"/>
      <c r="E79" s="40"/>
    </row>
    <row r="80" spans="1:5" ht="18">
      <c r="B80" s="170"/>
      <c r="C80" s="169"/>
      <c r="D80" s="169"/>
      <c r="E80" s="40"/>
    </row>
    <row r="81" spans="2:5" ht="18">
      <c r="B81" s="170"/>
      <c r="C81" s="169"/>
      <c r="D81" s="169"/>
      <c r="E81" s="40"/>
    </row>
    <row r="82" spans="2:5" ht="18">
      <c r="B82" s="170"/>
      <c r="C82" s="169"/>
      <c r="D82" s="169"/>
      <c r="E82" s="40"/>
    </row>
    <row r="83" spans="2:5" ht="18">
      <c r="B83" s="170"/>
      <c r="C83" s="169"/>
      <c r="D83" s="169"/>
      <c r="E83" s="40"/>
    </row>
    <row r="84" spans="2:5" ht="18">
      <c r="B84" s="170"/>
      <c r="C84" s="169"/>
      <c r="D84" s="169"/>
      <c r="E84" s="40"/>
    </row>
    <row r="85" spans="2:5" ht="18">
      <c r="B85" s="170"/>
      <c r="C85" s="169"/>
      <c r="D85" s="169"/>
      <c r="E85" s="40"/>
    </row>
    <row r="86" spans="2:5" ht="18">
      <c r="B86" s="170"/>
      <c r="C86" s="169"/>
      <c r="D86" s="169"/>
      <c r="E86" s="40"/>
    </row>
    <row r="87" spans="2:5" ht="18">
      <c r="B87" s="170"/>
      <c r="C87" s="169"/>
      <c r="D87" s="169"/>
      <c r="E87" s="40"/>
    </row>
    <row r="88" spans="2:5" ht="18">
      <c r="B88" s="170"/>
      <c r="C88" s="169"/>
      <c r="D88" s="169"/>
      <c r="E88" s="40"/>
    </row>
    <row r="89" spans="2:5" ht="18">
      <c r="B89" s="170"/>
      <c r="C89" s="169"/>
      <c r="D89" s="169"/>
      <c r="E89" s="40"/>
    </row>
    <row r="90" spans="2:5" ht="18">
      <c r="B90" s="170"/>
      <c r="C90" s="169"/>
      <c r="D90" s="169"/>
      <c r="E90" s="40"/>
    </row>
    <row r="91" spans="2:5" ht="18">
      <c r="B91" s="170"/>
      <c r="C91" s="169"/>
      <c r="D91" s="169"/>
      <c r="E91" s="40"/>
    </row>
    <row r="92" spans="2:5" ht="18">
      <c r="B92" s="170"/>
      <c r="C92" s="169"/>
      <c r="D92" s="169"/>
      <c r="E92" s="40"/>
    </row>
    <row r="93" spans="2:5" ht="18">
      <c r="B93" s="170"/>
      <c r="C93" s="169"/>
      <c r="D93" s="169"/>
      <c r="E93" s="40"/>
    </row>
    <row r="94" spans="2:5" ht="18">
      <c r="B94" s="170"/>
      <c r="C94" s="169"/>
      <c r="D94" s="169"/>
      <c r="E94" s="40"/>
    </row>
    <row r="95" spans="2:5" ht="18">
      <c r="B95" s="170"/>
      <c r="C95" s="169"/>
      <c r="D95" s="169"/>
      <c r="E95" s="40"/>
    </row>
    <row r="96" spans="2:5" ht="18">
      <c r="B96" s="170"/>
      <c r="C96" s="169"/>
      <c r="D96" s="169"/>
      <c r="E96" s="40"/>
    </row>
    <row r="97" spans="1:31" ht="18">
      <c r="B97" s="170"/>
      <c r="C97" s="169"/>
      <c r="D97" s="169"/>
      <c r="E97" s="40"/>
    </row>
    <row r="98" spans="1:31" ht="18">
      <c r="B98" s="170"/>
      <c r="C98" s="169"/>
      <c r="D98" s="169"/>
      <c r="E98" s="40"/>
    </row>
    <row r="99" spans="1:31" ht="18">
      <c r="B99" s="170"/>
      <c r="C99" s="169"/>
      <c r="D99" s="169"/>
      <c r="E99" s="40"/>
    </row>
    <row r="100" spans="1:31" ht="18">
      <c r="B100" s="170"/>
      <c r="C100" s="169"/>
      <c r="D100" s="169"/>
      <c r="E100" s="40"/>
    </row>
    <row r="101" spans="1:31" s="155" customFormat="1" ht="28.8">
      <c r="A101" s="180" t="s">
        <v>26</v>
      </c>
      <c r="B101" s="181"/>
      <c r="C101" s="180"/>
      <c r="D101" s="180"/>
      <c r="E101" s="180"/>
    </row>
    <row r="103" spans="1:31" ht="15" thickBot="1"/>
    <row r="104" spans="1:31" ht="15" thickBot="1">
      <c r="A104" s="71" t="s">
        <v>37</v>
      </c>
      <c r="B104" s="67" t="s">
        <v>9</v>
      </c>
      <c r="C104" s="67" t="s">
        <v>37</v>
      </c>
      <c r="D104" s="67" t="s">
        <v>10</v>
      </c>
      <c r="E104" s="67" t="s">
        <v>8</v>
      </c>
      <c r="G104" s="217" t="s">
        <v>9</v>
      </c>
      <c r="H104" s="218"/>
      <c r="I104" s="218"/>
      <c r="J104" s="219"/>
      <c r="AB104" s="217" t="s">
        <v>9</v>
      </c>
      <c r="AC104" s="218"/>
      <c r="AD104" s="218"/>
      <c r="AE104" s="219"/>
    </row>
    <row r="105" spans="1:31" ht="18.600000000000001" thickBot="1">
      <c r="A105" s="170"/>
      <c r="B105" s="169"/>
      <c r="C105" s="170"/>
      <c r="D105" s="169"/>
      <c r="E105" s="40">
        <f t="shared" ref="E105:E136" si="3">IF(A105=C105,B105+D105,D105)</f>
        <v>0</v>
      </c>
      <c r="G105" s="136" t="s">
        <v>5</v>
      </c>
      <c r="H105" s="179" t="s">
        <v>6</v>
      </c>
      <c r="I105" s="178" t="s">
        <v>38</v>
      </c>
      <c r="J105" s="177" t="s">
        <v>39</v>
      </c>
      <c r="AB105" s="136" t="s">
        <v>5</v>
      </c>
      <c r="AC105" s="179" t="s">
        <v>6</v>
      </c>
      <c r="AD105" s="178" t="s">
        <v>38</v>
      </c>
      <c r="AE105" s="177" t="s">
        <v>39</v>
      </c>
    </row>
    <row r="106" spans="1:31" ht="18">
      <c r="A106" s="170"/>
      <c r="B106" s="169"/>
      <c r="C106" s="170"/>
      <c r="D106" s="169"/>
      <c r="E106" s="40">
        <f t="shared" si="3"/>
        <v>0</v>
      </c>
      <c r="G106" s="157"/>
      <c r="H106" s="46"/>
      <c r="I106" s="176"/>
      <c r="J106" s="175"/>
      <c r="K106" s="163" t="str">
        <f>CONCATENATE(H106,"/ ",I106)</f>
        <v xml:space="preserve">/ </v>
      </c>
      <c r="AB106" s="157"/>
      <c r="AC106" s="46"/>
      <c r="AD106" s="176"/>
      <c r="AE106" s="175"/>
    </row>
    <row r="107" spans="1:31" ht="18">
      <c r="A107" s="170"/>
      <c r="B107" s="169"/>
      <c r="C107" s="170"/>
      <c r="D107" s="169"/>
      <c r="E107" s="40">
        <f t="shared" si="3"/>
        <v>0</v>
      </c>
      <c r="G107" s="18"/>
      <c r="H107" s="19"/>
      <c r="I107" s="174"/>
      <c r="J107" s="173"/>
      <c r="K107" s="163" t="str">
        <f>CONCATENATE(H107,"/ ",I107)</f>
        <v xml:space="preserve">/ </v>
      </c>
      <c r="AB107" s="18"/>
      <c r="AC107" s="19"/>
      <c r="AD107" s="174"/>
      <c r="AE107" s="173"/>
    </row>
    <row r="108" spans="1:31" ht="18">
      <c r="A108" s="170"/>
      <c r="B108" s="169"/>
      <c r="C108" s="170"/>
      <c r="D108" s="169"/>
      <c r="E108" s="40">
        <f t="shared" si="3"/>
        <v>0</v>
      </c>
      <c r="G108" s="18"/>
      <c r="H108" s="19"/>
      <c r="I108" s="174"/>
      <c r="J108" s="173"/>
      <c r="K108" s="163" t="str">
        <f>CONCATENATE(H108,"/ ",I108)</f>
        <v xml:space="preserve">/ </v>
      </c>
      <c r="AB108" s="18"/>
      <c r="AC108" s="19"/>
      <c r="AD108" s="174"/>
      <c r="AE108" s="173"/>
    </row>
    <row r="109" spans="1:31" ht="18">
      <c r="A109" s="170"/>
      <c r="B109" s="169"/>
      <c r="C109" s="170"/>
      <c r="D109" s="169"/>
      <c r="E109" s="40">
        <f t="shared" si="3"/>
        <v>0</v>
      </c>
      <c r="G109" s="18"/>
      <c r="H109" s="19"/>
      <c r="I109" s="174"/>
      <c r="J109" s="173"/>
      <c r="K109" s="163" t="str">
        <f>CONCATENATE(H109,"/ ",I109)</f>
        <v xml:space="preserve">/ </v>
      </c>
      <c r="AB109" s="18"/>
      <c r="AC109" s="19"/>
      <c r="AD109" s="174"/>
      <c r="AE109" s="173"/>
    </row>
    <row r="110" spans="1:31" ht="18.600000000000001" thickBot="1">
      <c r="A110" s="170"/>
      <c r="B110" s="169"/>
      <c r="C110" s="170"/>
      <c r="D110" s="169"/>
      <c r="E110" s="40">
        <f t="shared" si="3"/>
        <v>0</v>
      </c>
      <c r="G110" s="17"/>
      <c r="H110" s="44"/>
      <c r="I110" s="172"/>
      <c r="J110" s="171"/>
      <c r="K110" s="163" t="str">
        <f>CONCATENATE(H110,"/ ",I110)</f>
        <v xml:space="preserve">/ </v>
      </c>
      <c r="AB110" s="17"/>
      <c r="AC110" s="44"/>
      <c r="AD110" s="172"/>
      <c r="AE110" s="171"/>
    </row>
    <row r="111" spans="1:31" ht="18.600000000000001" thickBot="1">
      <c r="A111" s="170"/>
      <c r="B111" s="169"/>
      <c r="C111" s="170"/>
      <c r="D111" s="169"/>
      <c r="E111" s="40">
        <f t="shared" si="3"/>
        <v>0</v>
      </c>
      <c r="I111" s="163" t="s">
        <v>8</v>
      </c>
      <c r="J111" s="156">
        <f>SUM(B105:B300)</f>
        <v>0</v>
      </c>
      <c r="AD111" s="163" t="s">
        <v>8</v>
      </c>
      <c r="AE111" s="156">
        <f>SUM(W105:W171)</f>
        <v>0</v>
      </c>
    </row>
    <row r="112" spans="1:31" ht="18.600000000000001" thickBot="1">
      <c r="A112" s="170"/>
      <c r="B112" s="169"/>
      <c r="C112" s="170"/>
      <c r="D112" s="169"/>
      <c r="E112" s="40">
        <f t="shared" si="3"/>
        <v>0</v>
      </c>
      <c r="G112" s="211" t="s">
        <v>10</v>
      </c>
      <c r="H112" s="212"/>
      <c r="I112" s="212"/>
      <c r="J112" s="213"/>
      <c r="AB112" s="211" t="s">
        <v>10</v>
      </c>
      <c r="AC112" s="212"/>
      <c r="AD112" s="212"/>
      <c r="AE112" s="213"/>
    </row>
    <row r="113" spans="1:31" ht="18.600000000000001" thickBot="1">
      <c r="A113" s="170"/>
      <c r="B113" s="169"/>
      <c r="C113" s="170"/>
      <c r="D113" s="169"/>
      <c r="E113" s="40">
        <f t="shared" si="3"/>
        <v>0</v>
      </c>
      <c r="G113" s="136" t="s">
        <v>5</v>
      </c>
      <c r="H113" s="179" t="s">
        <v>6</v>
      </c>
      <c r="I113" s="178" t="s">
        <v>38</v>
      </c>
      <c r="J113" s="177" t="s">
        <v>39</v>
      </c>
      <c r="AB113" s="136" t="s">
        <v>5</v>
      </c>
      <c r="AC113" s="179" t="s">
        <v>6</v>
      </c>
      <c r="AD113" s="178" t="s">
        <v>38</v>
      </c>
      <c r="AE113" s="177" t="s">
        <v>39</v>
      </c>
    </row>
    <row r="114" spans="1:31" ht="18">
      <c r="A114" s="170"/>
      <c r="B114" s="169"/>
      <c r="C114" s="170"/>
      <c r="D114" s="169"/>
      <c r="E114" s="40">
        <f t="shared" si="3"/>
        <v>0</v>
      </c>
      <c r="G114" s="157"/>
      <c r="H114" s="46"/>
      <c r="I114" s="176"/>
      <c r="J114" s="175"/>
      <c r="K114" s="163" t="str">
        <f>CONCATENATE(H114,"/ ",I114)</f>
        <v xml:space="preserve">/ </v>
      </c>
      <c r="AB114" s="157"/>
      <c r="AC114" s="46"/>
      <c r="AD114" s="176"/>
      <c r="AE114" s="175"/>
    </row>
    <row r="115" spans="1:31" ht="18">
      <c r="A115" s="170"/>
      <c r="B115" s="169"/>
      <c r="C115" s="170"/>
      <c r="D115" s="169"/>
      <c r="E115" s="40">
        <f t="shared" si="3"/>
        <v>0</v>
      </c>
      <c r="G115" s="18"/>
      <c r="H115" s="19"/>
      <c r="I115" s="174"/>
      <c r="J115" s="173"/>
      <c r="K115" s="163" t="str">
        <f>CONCATENATE(H115,"/ ",I115)</f>
        <v xml:space="preserve">/ </v>
      </c>
      <c r="AB115" s="18"/>
      <c r="AC115" s="19"/>
      <c r="AD115" s="174"/>
      <c r="AE115" s="173"/>
    </row>
    <row r="116" spans="1:31" ht="18">
      <c r="A116" s="170"/>
      <c r="B116" s="169"/>
      <c r="C116" s="170"/>
      <c r="D116" s="169"/>
      <c r="E116" s="40">
        <f t="shared" si="3"/>
        <v>0</v>
      </c>
      <c r="G116" s="18"/>
      <c r="H116" s="19"/>
      <c r="I116" s="174"/>
      <c r="J116" s="173"/>
      <c r="K116" s="163" t="str">
        <f>CONCATENATE(H116,"/ ",I116)</f>
        <v xml:space="preserve">/ </v>
      </c>
      <c r="AB116" s="18"/>
      <c r="AC116" s="19"/>
      <c r="AD116" s="174"/>
      <c r="AE116" s="173"/>
    </row>
    <row r="117" spans="1:31" ht="18">
      <c r="A117" s="170"/>
      <c r="B117" s="169"/>
      <c r="C117" s="170"/>
      <c r="D117" s="169"/>
      <c r="E117" s="40">
        <f t="shared" si="3"/>
        <v>0</v>
      </c>
      <c r="G117" s="18"/>
      <c r="H117" s="19"/>
      <c r="I117" s="174"/>
      <c r="J117" s="173"/>
      <c r="K117" s="163" t="str">
        <f>CONCATENATE(H117,"/ ",I117)</f>
        <v xml:space="preserve">/ </v>
      </c>
      <c r="AB117" s="18"/>
      <c r="AC117" s="19"/>
      <c r="AD117" s="174"/>
      <c r="AE117" s="173"/>
    </row>
    <row r="118" spans="1:31" ht="18.600000000000001" thickBot="1">
      <c r="A118" s="170"/>
      <c r="B118" s="169"/>
      <c r="C118" s="170"/>
      <c r="D118" s="169"/>
      <c r="E118" s="40">
        <f t="shared" si="3"/>
        <v>0</v>
      </c>
      <c r="G118" s="17"/>
      <c r="H118" s="44"/>
      <c r="I118" s="172"/>
      <c r="J118" s="171"/>
      <c r="K118" s="163" t="str">
        <f>CONCATENATE(H118,"/ ",I118)</f>
        <v xml:space="preserve">/ </v>
      </c>
      <c r="AB118" s="17"/>
      <c r="AC118" s="44"/>
      <c r="AD118" s="172"/>
      <c r="AE118" s="171"/>
    </row>
    <row r="119" spans="1:31" ht="18.600000000000001" thickBot="1">
      <c r="A119" s="170"/>
      <c r="B119" s="169"/>
      <c r="C119" s="170"/>
      <c r="D119" s="169"/>
      <c r="E119" s="40">
        <f t="shared" si="3"/>
        <v>0</v>
      </c>
      <c r="I119" s="163" t="s">
        <v>8</v>
      </c>
      <c r="J119" s="156">
        <f>SUM(D105:D300)</f>
        <v>0</v>
      </c>
      <c r="AD119" s="163" t="s">
        <v>8</v>
      </c>
      <c r="AE119" s="156">
        <f>SUM(Y105:Y171)</f>
        <v>0</v>
      </c>
    </row>
    <row r="120" spans="1:31" ht="18.600000000000001" thickBot="1">
      <c r="A120" s="170"/>
      <c r="B120" s="169"/>
      <c r="C120" s="170"/>
      <c r="D120" s="169"/>
      <c r="E120" s="40">
        <f t="shared" si="3"/>
        <v>0</v>
      </c>
      <c r="G120" s="220" t="s">
        <v>8</v>
      </c>
      <c r="H120" s="221"/>
      <c r="I120" s="178" t="s">
        <v>38</v>
      </c>
      <c r="J120" s="177" t="s">
        <v>39</v>
      </c>
      <c r="AB120" s="220" t="s">
        <v>8</v>
      </c>
      <c r="AC120" s="221"/>
      <c r="AD120" s="178" t="s">
        <v>38</v>
      </c>
      <c r="AE120" s="177" t="s">
        <v>39</v>
      </c>
    </row>
    <row r="121" spans="1:31" ht="18">
      <c r="A121" s="170"/>
      <c r="B121" s="169"/>
      <c r="C121" s="170"/>
      <c r="D121" s="169"/>
      <c r="E121" s="40">
        <f t="shared" si="3"/>
        <v>0</v>
      </c>
      <c r="G121" s="157"/>
      <c r="H121" s="46"/>
      <c r="I121" s="176"/>
      <c r="J121" s="175"/>
      <c r="K121" s="163" t="str">
        <f>CONCATENATE(H121,"/ ",I121)</f>
        <v xml:space="preserve">/ </v>
      </c>
      <c r="AB121" s="157"/>
      <c r="AC121" s="46"/>
      <c r="AD121" s="176"/>
      <c r="AE121" s="175"/>
    </row>
    <row r="122" spans="1:31" ht="18">
      <c r="A122" s="170"/>
      <c r="B122" s="169"/>
      <c r="C122" s="170"/>
      <c r="D122" s="169"/>
      <c r="E122" s="40">
        <f t="shared" si="3"/>
        <v>0</v>
      </c>
      <c r="G122" s="18"/>
      <c r="H122" s="19"/>
      <c r="I122" s="174"/>
      <c r="J122" s="173"/>
      <c r="K122" s="163" t="str">
        <f>CONCATENATE(H122,"/ ",I122)</f>
        <v xml:space="preserve">/ </v>
      </c>
      <c r="AB122" s="18"/>
      <c r="AC122" s="19"/>
      <c r="AD122" s="174"/>
      <c r="AE122" s="173"/>
    </row>
    <row r="123" spans="1:31" ht="18">
      <c r="A123" s="170"/>
      <c r="B123" s="169"/>
      <c r="C123" s="170"/>
      <c r="D123" s="169"/>
      <c r="E123" s="40">
        <f t="shared" si="3"/>
        <v>0</v>
      </c>
      <c r="G123" s="18"/>
      <c r="H123" s="19"/>
      <c r="I123" s="174"/>
      <c r="J123" s="173"/>
      <c r="K123" s="163" t="str">
        <f>CONCATENATE(H123,"/ ",I123)</f>
        <v xml:space="preserve">/ </v>
      </c>
      <c r="AB123" s="18"/>
      <c r="AC123" s="19"/>
      <c r="AD123" s="174"/>
      <c r="AE123" s="173"/>
    </row>
    <row r="124" spans="1:31" ht="18">
      <c r="A124" s="170"/>
      <c r="B124" s="169"/>
      <c r="C124" s="170"/>
      <c r="D124" s="169"/>
      <c r="E124" s="40">
        <f t="shared" si="3"/>
        <v>0</v>
      </c>
      <c r="G124" s="18"/>
      <c r="H124" s="19"/>
      <c r="I124" s="174"/>
      <c r="J124" s="173"/>
      <c r="K124" s="163" t="str">
        <f>CONCATENATE(H124,"/ ",I124)</f>
        <v xml:space="preserve">/ </v>
      </c>
      <c r="AB124" s="18"/>
      <c r="AC124" s="19"/>
      <c r="AD124" s="174"/>
      <c r="AE124" s="173"/>
    </row>
    <row r="125" spans="1:31" ht="18.600000000000001" thickBot="1">
      <c r="A125" s="170"/>
      <c r="B125" s="169"/>
      <c r="C125" s="170"/>
      <c r="D125" s="169"/>
      <c r="E125" s="40">
        <f t="shared" si="3"/>
        <v>0</v>
      </c>
      <c r="G125" s="17"/>
      <c r="H125" s="44"/>
      <c r="I125" s="172"/>
      <c r="J125" s="171"/>
      <c r="K125" s="163" t="str">
        <f>CONCATENATE(H125,"/ ",I125)</f>
        <v xml:space="preserve">/ </v>
      </c>
      <c r="AB125" s="17"/>
      <c r="AC125" s="44"/>
      <c r="AD125" s="172"/>
      <c r="AE125" s="171"/>
    </row>
    <row r="126" spans="1:31" ht="18">
      <c r="A126" s="170"/>
      <c r="B126" s="169"/>
      <c r="C126" s="170"/>
      <c r="D126" s="169"/>
      <c r="E126" s="40">
        <f t="shared" si="3"/>
        <v>0</v>
      </c>
      <c r="I126" s="163" t="s">
        <v>8</v>
      </c>
      <c r="J126" s="156">
        <f>J111+J119</f>
        <v>0</v>
      </c>
    </row>
    <row r="127" spans="1:31" ht="18">
      <c r="A127" s="170"/>
      <c r="B127" s="169"/>
      <c r="C127" s="170"/>
      <c r="D127" s="169"/>
      <c r="E127" s="40">
        <f t="shared" si="3"/>
        <v>0</v>
      </c>
    </row>
    <row r="128" spans="1:31" ht="18">
      <c r="A128" s="170"/>
      <c r="B128" s="169"/>
      <c r="C128" s="170"/>
      <c r="D128" s="169"/>
      <c r="E128" s="40">
        <f t="shared" si="3"/>
        <v>0</v>
      </c>
    </row>
    <row r="129" spans="1:5" ht="18">
      <c r="A129" s="170"/>
      <c r="B129" s="169"/>
      <c r="C129" s="170"/>
      <c r="D129" s="169"/>
      <c r="E129" s="40">
        <f t="shared" si="3"/>
        <v>0</v>
      </c>
    </row>
    <row r="130" spans="1:5" ht="18">
      <c r="A130" s="170"/>
      <c r="B130" s="169"/>
      <c r="C130" s="170"/>
      <c r="D130" s="169"/>
      <c r="E130" s="40">
        <f t="shared" si="3"/>
        <v>0</v>
      </c>
    </row>
    <row r="131" spans="1:5" ht="18">
      <c r="A131" s="170"/>
      <c r="B131" s="169"/>
      <c r="C131" s="170"/>
      <c r="D131" s="169"/>
      <c r="E131" s="40">
        <f t="shared" si="3"/>
        <v>0</v>
      </c>
    </row>
    <row r="132" spans="1:5" ht="18">
      <c r="A132" s="170"/>
      <c r="B132" s="169"/>
      <c r="C132" s="170"/>
      <c r="D132" s="169"/>
      <c r="E132" s="40">
        <f t="shared" si="3"/>
        <v>0</v>
      </c>
    </row>
    <row r="133" spans="1:5" ht="18">
      <c r="A133" s="170"/>
      <c r="B133" s="169"/>
      <c r="C133" s="170"/>
      <c r="D133" s="169"/>
      <c r="E133" s="40">
        <f t="shared" si="3"/>
        <v>0</v>
      </c>
    </row>
    <row r="134" spans="1:5" ht="18">
      <c r="A134" s="170"/>
      <c r="B134" s="169"/>
      <c r="C134" s="170"/>
      <c r="D134" s="169"/>
      <c r="E134" s="40">
        <f t="shared" si="3"/>
        <v>0</v>
      </c>
    </row>
    <row r="135" spans="1:5" ht="18">
      <c r="A135" s="170"/>
      <c r="B135" s="169"/>
      <c r="C135" s="170"/>
      <c r="D135" s="169"/>
      <c r="E135" s="40">
        <f t="shared" si="3"/>
        <v>0</v>
      </c>
    </row>
    <row r="136" spans="1:5" ht="18">
      <c r="A136" s="170"/>
      <c r="B136" s="169"/>
      <c r="C136" s="170"/>
      <c r="D136" s="169"/>
      <c r="E136" s="40">
        <f t="shared" si="3"/>
        <v>0</v>
      </c>
    </row>
    <row r="137" spans="1:5" ht="18">
      <c r="A137" s="170"/>
      <c r="B137" s="169"/>
      <c r="C137" s="170"/>
      <c r="D137" s="169"/>
      <c r="E137" s="40">
        <f t="shared" ref="E137:E168" si="4">IF(A137=C137,B137+D137,D137)</f>
        <v>0</v>
      </c>
    </row>
    <row r="138" spans="1:5" ht="18">
      <c r="A138" s="170"/>
      <c r="B138" s="169"/>
      <c r="C138" s="170"/>
      <c r="D138" s="169"/>
      <c r="E138" s="40">
        <f t="shared" si="4"/>
        <v>0</v>
      </c>
    </row>
    <row r="139" spans="1:5" ht="18">
      <c r="A139" s="170"/>
      <c r="B139" s="169"/>
      <c r="C139" s="170"/>
      <c r="D139" s="169"/>
      <c r="E139" s="40">
        <f t="shared" si="4"/>
        <v>0</v>
      </c>
    </row>
    <row r="140" spans="1:5" ht="18">
      <c r="A140" s="170"/>
      <c r="B140" s="169"/>
      <c r="C140" s="170"/>
      <c r="D140" s="169"/>
      <c r="E140" s="40">
        <f t="shared" si="4"/>
        <v>0</v>
      </c>
    </row>
    <row r="141" spans="1:5" ht="18">
      <c r="A141" s="170"/>
      <c r="B141" s="169"/>
      <c r="C141" s="170"/>
      <c r="D141" s="169"/>
      <c r="E141" s="40">
        <f t="shared" si="4"/>
        <v>0</v>
      </c>
    </row>
    <row r="142" spans="1:5" ht="18">
      <c r="A142" s="170"/>
      <c r="B142" s="169"/>
      <c r="C142" s="170"/>
      <c r="D142" s="169"/>
      <c r="E142" s="40">
        <f t="shared" si="4"/>
        <v>0</v>
      </c>
    </row>
    <row r="143" spans="1:5" ht="18">
      <c r="A143" s="170"/>
      <c r="B143" s="169"/>
      <c r="C143" s="170"/>
      <c r="D143" s="169"/>
      <c r="E143" s="40">
        <f t="shared" si="4"/>
        <v>0</v>
      </c>
    </row>
    <row r="144" spans="1:5" ht="18">
      <c r="A144" s="170"/>
      <c r="B144" s="169"/>
      <c r="C144" s="170"/>
      <c r="D144" s="169"/>
      <c r="E144" s="40">
        <f t="shared" si="4"/>
        <v>0</v>
      </c>
    </row>
    <row r="145" spans="1:5" ht="18">
      <c r="A145" s="170"/>
      <c r="B145" s="169"/>
      <c r="C145" s="170"/>
      <c r="D145" s="169"/>
      <c r="E145" s="40">
        <f t="shared" si="4"/>
        <v>0</v>
      </c>
    </row>
    <row r="146" spans="1:5" ht="18">
      <c r="A146" s="170"/>
      <c r="B146" s="169"/>
      <c r="C146" s="170"/>
      <c r="D146" s="169"/>
      <c r="E146" s="40">
        <f t="shared" si="4"/>
        <v>0</v>
      </c>
    </row>
    <row r="147" spans="1:5" ht="18">
      <c r="A147" s="170"/>
      <c r="B147" s="169"/>
      <c r="C147" s="170"/>
      <c r="D147" s="169"/>
      <c r="E147" s="40">
        <f t="shared" si="4"/>
        <v>0</v>
      </c>
    </row>
    <row r="148" spans="1:5" ht="18">
      <c r="A148" s="170"/>
      <c r="B148" s="169"/>
      <c r="C148" s="170"/>
      <c r="D148" s="169"/>
      <c r="E148" s="40">
        <f t="shared" si="4"/>
        <v>0</v>
      </c>
    </row>
    <row r="149" spans="1:5" ht="18">
      <c r="A149" s="170"/>
      <c r="B149" s="169"/>
      <c r="C149" s="170"/>
      <c r="D149" s="169"/>
      <c r="E149" s="40">
        <f t="shared" si="4"/>
        <v>0</v>
      </c>
    </row>
    <row r="150" spans="1:5" ht="18">
      <c r="A150" s="170"/>
      <c r="B150" s="169"/>
      <c r="C150" s="170"/>
      <c r="D150" s="169"/>
      <c r="E150" s="40">
        <f t="shared" si="4"/>
        <v>0</v>
      </c>
    </row>
    <row r="151" spans="1:5" ht="18">
      <c r="A151" s="170"/>
      <c r="B151" s="169"/>
      <c r="C151" s="170"/>
      <c r="D151" s="169"/>
      <c r="E151" s="40">
        <f t="shared" si="4"/>
        <v>0</v>
      </c>
    </row>
    <row r="152" spans="1:5" ht="18">
      <c r="A152" s="170"/>
      <c r="B152" s="169"/>
      <c r="C152" s="170"/>
      <c r="D152" s="169"/>
      <c r="E152" s="40">
        <f t="shared" si="4"/>
        <v>0</v>
      </c>
    </row>
    <row r="153" spans="1:5" ht="18">
      <c r="A153" s="170"/>
      <c r="B153" s="169"/>
      <c r="C153" s="170"/>
      <c r="D153" s="169"/>
      <c r="E153" s="40">
        <f t="shared" si="4"/>
        <v>0</v>
      </c>
    </row>
    <row r="154" spans="1:5" ht="18">
      <c r="A154" s="170"/>
      <c r="B154" s="169"/>
      <c r="C154" s="170"/>
      <c r="D154" s="169"/>
      <c r="E154" s="40">
        <f t="shared" si="4"/>
        <v>0</v>
      </c>
    </row>
    <row r="155" spans="1:5" ht="18">
      <c r="A155" s="170"/>
      <c r="B155" s="169"/>
      <c r="C155" s="170"/>
      <c r="D155" s="169"/>
      <c r="E155" s="40">
        <f t="shared" si="4"/>
        <v>0</v>
      </c>
    </row>
    <row r="156" spans="1:5" ht="18">
      <c r="A156" s="170"/>
      <c r="B156" s="169"/>
      <c r="C156" s="170"/>
      <c r="D156" s="169"/>
      <c r="E156" s="40">
        <f t="shared" si="4"/>
        <v>0</v>
      </c>
    </row>
    <row r="157" spans="1:5" ht="18">
      <c r="A157" s="170"/>
      <c r="B157" s="169"/>
      <c r="C157" s="170"/>
      <c r="D157" s="169"/>
      <c r="E157" s="40">
        <f t="shared" si="4"/>
        <v>0</v>
      </c>
    </row>
    <row r="158" spans="1:5" ht="18">
      <c r="A158" s="170"/>
      <c r="B158" s="169"/>
      <c r="C158" s="170"/>
      <c r="D158" s="169"/>
      <c r="E158" s="40">
        <f t="shared" si="4"/>
        <v>0</v>
      </c>
    </row>
    <row r="159" spans="1:5" ht="18">
      <c r="A159" s="170"/>
      <c r="B159" s="169"/>
      <c r="C159" s="170"/>
      <c r="D159" s="169"/>
      <c r="E159" s="40">
        <f t="shared" si="4"/>
        <v>0</v>
      </c>
    </row>
    <row r="160" spans="1:5" ht="18">
      <c r="A160" s="170"/>
      <c r="B160" s="169"/>
      <c r="C160" s="170"/>
      <c r="D160" s="169"/>
      <c r="E160" s="40">
        <f t="shared" si="4"/>
        <v>0</v>
      </c>
    </row>
    <row r="161" spans="1:5" ht="18">
      <c r="A161" s="170"/>
      <c r="B161" s="169"/>
      <c r="C161" s="170"/>
      <c r="D161" s="169"/>
      <c r="E161" s="40">
        <f t="shared" si="4"/>
        <v>0</v>
      </c>
    </row>
    <row r="162" spans="1:5" ht="18">
      <c r="A162" s="170"/>
      <c r="B162" s="169"/>
      <c r="C162" s="170"/>
      <c r="D162" s="169"/>
      <c r="E162" s="40">
        <f t="shared" si="4"/>
        <v>0</v>
      </c>
    </row>
    <row r="163" spans="1:5" ht="18">
      <c r="A163" s="170"/>
      <c r="B163" s="169"/>
      <c r="C163" s="170"/>
      <c r="D163" s="169"/>
      <c r="E163" s="40">
        <f t="shared" si="4"/>
        <v>0</v>
      </c>
    </row>
    <row r="164" spans="1:5" ht="18">
      <c r="A164" s="170"/>
      <c r="B164" s="169"/>
      <c r="C164" s="170"/>
      <c r="D164" s="169"/>
      <c r="E164" s="40">
        <f t="shared" si="4"/>
        <v>0</v>
      </c>
    </row>
    <row r="165" spans="1:5" ht="18">
      <c r="A165" s="170"/>
      <c r="B165" s="169"/>
      <c r="C165" s="170"/>
      <c r="D165" s="169"/>
      <c r="E165" s="40">
        <f t="shared" si="4"/>
        <v>0</v>
      </c>
    </row>
    <row r="166" spans="1:5" ht="18">
      <c r="A166" s="170"/>
      <c r="B166" s="169"/>
      <c r="C166" s="170"/>
      <c r="D166" s="169"/>
      <c r="E166" s="40">
        <f t="shared" si="4"/>
        <v>0</v>
      </c>
    </row>
    <row r="167" spans="1:5" ht="18">
      <c r="A167" s="170"/>
      <c r="B167" s="169"/>
      <c r="C167" s="170"/>
      <c r="D167" s="169"/>
      <c r="E167" s="40">
        <f t="shared" si="4"/>
        <v>0</v>
      </c>
    </row>
    <row r="168" spans="1:5" ht="18">
      <c r="A168" s="170"/>
      <c r="B168" s="169"/>
      <c r="C168" s="170"/>
      <c r="D168" s="169"/>
      <c r="E168" s="40">
        <f t="shared" si="4"/>
        <v>0</v>
      </c>
    </row>
    <row r="169" spans="1:5" ht="18">
      <c r="A169" s="170"/>
      <c r="B169" s="169"/>
      <c r="C169" s="170"/>
      <c r="D169" s="169"/>
      <c r="E169" s="40">
        <f t="shared" ref="E169:E190" si="5">IF(A169=C169,B169+D169,D169)</f>
        <v>0</v>
      </c>
    </row>
    <row r="170" spans="1:5" ht="18">
      <c r="A170" s="170"/>
      <c r="B170" s="169"/>
      <c r="C170" s="170"/>
      <c r="D170" s="169"/>
      <c r="E170" s="40">
        <f t="shared" si="5"/>
        <v>0</v>
      </c>
    </row>
    <row r="171" spans="1:5">
      <c r="E171" s="40">
        <f t="shared" si="5"/>
        <v>0</v>
      </c>
    </row>
    <row r="172" spans="1:5">
      <c r="E172" s="40">
        <f t="shared" si="5"/>
        <v>0</v>
      </c>
    </row>
    <row r="173" spans="1:5">
      <c r="E173" s="40">
        <f t="shared" si="5"/>
        <v>0</v>
      </c>
    </row>
    <row r="174" spans="1:5">
      <c r="E174" s="40">
        <f t="shared" si="5"/>
        <v>0</v>
      </c>
    </row>
    <row r="175" spans="1:5">
      <c r="E175" s="40">
        <f t="shared" si="5"/>
        <v>0</v>
      </c>
    </row>
    <row r="176" spans="1:5">
      <c r="E176" s="40">
        <f t="shared" si="5"/>
        <v>0</v>
      </c>
    </row>
    <row r="177" spans="5:5">
      <c r="E177" s="40">
        <f t="shared" si="5"/>
        <v>0</v>
      </c>
    </row>
    <row r="178" spans="5:5">
      <c r="E178" s="40">
        <f t="shared" si="5"/>
        <v>0</v>
      </c>
    </row>
    <row r="179" spans="5:5">
      <c r="E179" s="40">
        <f t="shared" si="5"/>
        <v>0</v>
      </c>
    </row>
    <row r="180" spans="5:5">
      <c r="E180" s="40">
        <f t="shared" si="5"/>
        <v>0</v>
      </c>
    </row>
    <row r="181" spans="5:5">
      <c r="E181" s="40">
        <f t="shared" si="5"/>
        <v>0</v>
      </c>
    </row>
    <row r="182" spans="5:5">
      <c r="E182" s="40">
        <f t="shared" si="5"/>
        <v>0</v>
      </c>
    </row>
    <row r="183" spans="5:5">
      <c r="E183" s="40">
        <f t="shared" si="5"/>
        <v>0</v>
      </c>
    </row>
    <row r="184" spans="5:5">
      <c r="E184" s="40">
        <f t="shared" si="5"/>
        <v>0</v>
      </c>
    </row>
    <row r="185" spans="5:5">
      <c r="E185" s="40">
        <f t="shared" si="5"/>
        <v>0</v>
      </c>
    </row>
    <row r="186" spans="5:5">
      <c r="E186" s="40">
        <f t="shared" si="5"/>
        <v>0</v>
      </c>
    </row>
    <row r="187" spans="5:5">
      <c r="E187" s="40">
        <f t="shared" si="5"/>
        <v>0</v>
      </c>
    </row>
    <row r="188" spans="5:5">
      <c r="E188" s="40">
        <f t="shared" si="5"/>
        <v>0</v>
      </c>
    </row>
    <row r="189" spans="5:5">
      <c r="E189" s="40">
        <f t="shared" si="5"/>
        <v>0</v>
      </c>
    </row>
    <row r="190" spans="5:5">
      <c r="E190" s="40">
        <f t="shared" si="5"/>
        <v>0</v>
      </c>
    </row>
  </sheetData>
  <mergeCells count="12">
    <mergeCell ref="G104:J104"/>
    <mergeCell ref="AB104:AE104"/>
    <mergeCell ref="G112:J112"/>
    <mergeCell ref="AB112:AE112"/>
    <mergeCell ref="G120:H120"/>
    <mergeCell ref="AB120:AC120"/>
    <mergeCell ref="G3:J3"/>
    <mergeCell ref="AB3:AE3"/>
    <mergeCell ref="G11:J11"/>
    <mergeCell ref="AB11:AE11"/>
    <mergeCell ref="G19:H19"/>
    <mergeCell ref="AB19:AC19"/>
  </mergeCells>
  <conditionalFormatting sqref="D105:D170">
    <cfRule type="top10" dxfId="8" priority="9" rank="5"/>
  </conditionalFormatting>
  <conditionalFormatting sqref="D105:D170">
    <cfRule type="top10" dxfId="7" priority="8" percent="1" rank="5"/>
  </conditionalFormatting>
  <conditionalFormatting sqref="D4:D100 C71:C100">
    <cfRule type="top10" dxfId="6" priority="7" rank="5"/>
  </conditionalFormatting>
  <conditionalFormatting sqref="D4:D100">
    <cfRule type="top10" dxfId="5" priority="6" rank="5"/>
  </conditionalFormatting>
  <conditionalFormatting sqref="D4:D100 C71:C100">
    <cfRule type="top10" dxfId="4" priority="5" percent="1" rank="5"/>
  </conditionalFormatting>
  <conditionalFormatting sqref="B4:B70">
    <cfRule type="top10" dxfId="3" priority="4" rank="5"/>
  </conditionalFormatting>
  <conditionalFormatting sqref="B4:B70">
    <cfRule type="top10" dxfId="2" priority="3" percent="1" rank="5"/>
  </conditionalFormatting>
  <conditionalFormatting sqref="B105:B170">
    <cfRule type="top10" dxfId="1" priority="2" rank="5"/>
  </conditionalFormatting>
  <conditionalFormatting sqref="B105:B170">
    <cfRule type="top10" dxfId="0" priority="1" percent="1" rank="5"/>
  </conditionalFormatting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PPM'S</vt:lpstr>
      <vt:lpstr>GRAFICA PPM'S</vt:lpstr>
      <vt:lpstr>DEFECTOS X MESA</vt:lpstr>
      <vt:lpstr>DEFECTOS COMUNES</vt:lpstr>
      <vt:lpstr>PPM's Det</vt:lpstr>
      <vt:lpstr>Summary</vt:lpstr>
      <vt:lpstr>DEFECTOS DE PIEL X LOTE</vt:lpstr>
      <vt:lpstr>DEFECTOS TOTALES X 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RafaelF</dc:creator>
  <cp:lastModifiedBy>Francisco Esteban</cp:lastModifiedBy>
  <cp:lastPrinted>2014-03-11T23:07:45Z</cp:lastPrinted>
  <dcterms:created xsi:type="dcterms:W3CDTF">2013-09-11T22:36:29Z</dcterms:created>
  <dcterms:modified xsi:type="dcterms:W3CDTF">2021-11-25T15:42:56Z</dcterms:modified>
</cp:coreProperties>
</file>